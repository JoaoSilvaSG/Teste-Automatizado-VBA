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3d93bd384e2521a/Área de Trabalho/Codigos git/Teste Automatizado/"/>
    </mc:Choice>
  </mc:AlternateContent>
  <xr:revisionPtr revIDLastSave="0" documentId="13_ncr:1_{19EB5D4C-AAF2-4FA0-AF91-92AACA26E4C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incipal" sheetId="5" r:id="rId1"/>
    <sheet name="Roteiro" sheetId="6" r:id="rId2"/>
    <sheet name="Dados para verificação" sheetId="2" r:id="rId3"/>
    <sheet name="Banco de Dados" sheetId="4" r:id="rId4"/>
    <sheet name="Relatório" sheetId="7" r:id="rId5"/>
  </sheets>
  <definedNames>
    <definedName name="Município" localSheetId="1">Roteiro!$A$89</definedName>
    <definedName name="ResponsávelLegal" localSheetId="1">Roteiro!$A$15</definedName>
    <definedName name="Usuário" localSheetId="1">Roteiro!$A$68</definedName>
  </definedNames>
  <calcPr calcId="191029"/>
</workbook>
</file>

<file path=xl/calcChain.xml><?xml version="1.0" encoding="utf-8"?>
<calcChain xmlns="http://schemas.openxmlformats.org/spreadsheetml/2006/main">
  <c r="G4" i="4" l="1"/>
  <c r="G5" i="4" l="1"/>
  <c r="F6" i="5" s="1"/>
  <c r="E4" i="4"/>
  <c r="K22" i="4" l="1"/>
  <c r="B4" i="4" l="1"/>
</calcChain>
</file>

<file path=xl/sharedStrings.xml><?xml version="1.0" encoding="utf-8"?>
<sst xmlns="http://schemas.openxmlformats.org/spreadsheetml/2006/main" count="733" uniqueCount="699">
  <si>
    <t>Porcentagem:</t>
  </si>
  <si>
    <t>Posição atual:</t>
  </si>
  <si>
    <t>PROGRESSO SMOKE:</t>
  </si>
  <si>
    <t>Teste Geral/Parou</t>
  </si>
  <si>
    <t>Smoke Test/Parou</t>
  </si>
  <si>
    <t>zzzzzzzz</t>
  </si>
  <si>
    <t>Valor para analise de relatório:</t>
  </si>
  <si>
    <t>Informa de onde deseja começar o Smoke:</t>
  </si>
  <si>
    <t>PROGRESSO TESTES GERAIS:</t>
  </si>
  <si>
    <t>total:</t>
  </si>
  <si>
    <t>Informa de onde deseja começar o Geral:</t>
  </si>
  <si>
    <t>Possível Rastro</t>
  </si>
  <si>
    <t>Total Relatório</t>
  </si>
  <si>
    <t xml:space="preserve">Erros Identificados:  </t>
  </si>
  <si>
    <t>MENSAGEM DE ERRO</t>
  </si>
  <si>
    <t>x=</t>
  </si>
  <si>
    <t>y=</t>
  </si>
  <si>
    <t>z=</t>
  </si>
  <si>
    <t>w=</t>
  </si>
  <si>
    <t>caminho:</t>
  </si>
  <si>
    <t>Exemplo de chamada</t>
  </si>
  <si>
    <t>Não iniciado ainda</t>
  </si>
  <si>
    <t>Teste Automatizado (Agro)</t>
  </si>
  <si>
    <t>3. Parametrização:</t>
  </si>
  <si>
    <t>3.1. Configurar Parâmetros: Principal&gt;Ferramentas&gt;Parâmetros&gt;Empresa</t>
  </si>
  <si>
    <t>3.1.1. Guia “Gestão Financeira”</t>
  </si>
  <si>
    <t>3.1.1.1. Subguia “Histórico”</t>
  </si>
  <si>
    <t>3.1.1.1.1. Baixa de Abatimento de Vendas: 27-Outros</t>
  </si>
  <si>
    <t>3.1.2. Guia “Gestão Agrícola”</t>
  </si>
  <si>
    <t>3.1.2.1. Produtor: Informar qualquer registro</t>
  </si>
  <si>
    <t>3.1.3. Guia “Faturamento”</t>
  </si>
  <si>
    <t>3.1.3.1. Desconto Funrural: 246-Inss Funrural a Recolher</t>
  </si>
  <si>
    <t>3.1.3.2. Frete por conta do Remetente Soma no Total da Nota Fiscal: Marcado</t>
  </si>
  <si>
    <t>3.1.4. Guia “Gestão de Estoque”</t>
  </si>
  <si>
    <t>3.1.4.1. Informa Funrural na Compra: Marcado</t>
  </si>
  <si>
    <t>3.1.4.2. Histórico da Baixa do Funrural: 27-Outros</t>
  </si>
  <si>
    <t>3.1.5. Guia “Recursos Humanos”</t>
  </si>
  <si>
    <t>3.1.5.1. Preencher todas os campos e guias da aba “Provisionamento de Contas”</t>
  </si>
  <si>
    <t>3.1.5.1.1. Salvar</t>
  </si>
  <si>
    <t>4. Cadastros:</t>
  </si>
  <si>
    <t>4.1. Cadastrar Usuário: Principal&gt;Cadastros&gt;Usuários&gt;Novo</t>
  </si>
  <si>
    <t>4.1.1. Dados Do Cadastro</t>
  </si>
  <si>
    <t>4.1.1.1. Cabeçalho</t>
  </si>
  <si>
    <t>4.1.1.1.1. Pessoa: Informar uma pessoa física</t>
  </si>
  <si>
    <t>4.1.1.1.2. Login: Primeira letra do nome</t>
  </si>
  <si>
    <t>4.1.1.2. Guia “Senha”</t>
  </si>
  <si>
    <t>4.1.1.2.1. Senha: 1111</t>
  </si>
  <si>
    <t>4.1.1.2.2. Confirme A Senha: 1111</t>
  </si>
  <si>
    <t>4.1.1.2.2.1. Salvar</t>
  </si>
  <si>
    <t>4.2. Cadastrar Usuário Empresa: Principal&gt;Cadastros&gt;Usuário Empresa&gt;Novo</t>
  </si>
  <si>
    <t>4.2.1. Privilégio: Informar um privilégio que tenha acesso total nas telas</t>
  </si>
  <si>
    <t>4.2.1.1. Selecionar no grid o usuário cadastrado passo 4.1</t>
  </si>
  <si>
    <t>4.2.1.1.1. Salvar</t>
  </si>
  <si>
    <t>4.3. Repetir o passo 4.2 nas empresas 12 e 22</t>
  </si>
  <si>
    <t>4.4. Sair do sistema e fazer Login com usuário do passo “4.2”</t>
  </si>
  <si>
    <t>4.5. Configurar Conta Movimento: Gestão Financeira&gt;Cadastros&gt;Outras&gt;Contas Bancárias</t>
  </si>
  <si>
    <t>4.5.1. Editar contar código “179”</t>
  </si>
  <si>
    <t>4.5.1.1. Cabeçalho</t>
  </si>
  <si>
    <t>4.5.1.1.1. Cedente: Informar um registro qualquer</t>
  </si>
  <si>
    <t>4.5.1.2. Aba “Emissão de Cheques”</t>
  </si>
  <si>
    <t>4.5.1.2.1. Arquivo de Configuração de Cheque: ChequePadrao</t>
  </si>
  <si>
    <t>4.5.1.3. Aba “Cobrança”</t>
  </si>
  <si>
    <t>4.5.1.3.1. Emissão de Boleto: Imprime Boleto Gráfico</t>
  </si>
  <si>
    <t>4.5.1.3.2. Número do Convênio: 1</t>
  </si>
  <si>
    <t>4.5.1.3.2.1. Salvar</t>
  </si>
  <si>
    <t>4.6. Cadastrar Remetente NFe: Faturamento&gt;Cadastros&gt;Auxiliares Nota Fiscal&gt;Remetentes N.F.&gt;Novo</t>
  </si>
  <si>
    <t>4.6.1. Cabeçalho</t>
  </si>
  <si>
    <t>4.6.1.1. Pessoa: Cadastrar Pessoa Jurídica com os dados da Realtec e Selecioná-la (Combo “Pessoa” &gt; Novo)</t>
  </si>
  <si>
    <t>4.6.1.1.1. Dados Do Cadastro</t>
  </si>
  <si>
    <t>4.6.1.1.1.1.1. Identificação</t>
  </si>
  <si>
    <t>4.6.1.1.1.1.1.1. Tipo de Pessoa: 2-Jurídica</t>
  </si>
  <si>
    <t>4.6.1.1.1.1.1.2. CNPJ: 04.248.801/0001-21</t>
  </si>
  <si>
    <t>4.6.1.1.1.1.1.3. Tipo IE: Contribuinte ICMS</t>
  </si>
  <si>
    <t>4.6.1.1.1.1.1.4. Nº da Inscrição Estadual: 0021495810097</t>
  </si>
  <si>
    <t>4.6.1.1.1.1.1.5. Pessoa: pessoaRealtec</t>
  </si>
  <si>
    <t>4.6.1.1.1.1.2. Guia “Endereço Físico”</t>
  </si>
  <si>
    <t>4.6.1.1.1.1.2.1. Município: São Gotardo (3162104)</t>
  </si>
  <si>
    <t>4.6.1.1.1.1.2.2. CEP: 38800-000</t>
  </si>
  <si>
    <t>4.6.1.1.1.1.3. Guia “Contatos”</t>
  </si>
  <si>
    <t>4.6.1.1.1.1.3.1. Tipo Contato: Telefone</t>
  </si>
  <si>
    <t>4.6.1.1.1.1.3.2. Contato: (34) 3671-2394</t>
  </si>
  <si>
    <t>4.6.1.1.1.1.3.3. Adicionar</t>
  </si>
  <si>
    <t>4.6.1.1.1.1.4. Guia “Certificado Digital”</t>
  </si>
  <si>
    <t>4.6.1.1.1.1.4.2. Vencimento: 19/05/2020</t>
  </si>
  <si>
    <t>4.6.2. Modelo Padrão (fr3): nfe.fr3</t>
  </si>
  <si>
    <t>4.6.3. Série NF: 1</t>
  </si>
  <si>
    <t>4.6.4. Unidade Municipal: 1</t>
  </si>
  <si>
    <t>4.6.5. Município da Unidade Administrativa: São Gotardo (3162104)</t>
  </si>
  <si>
    <t>4.6.5.1. Salvar</t>
  </si>
  <si>
    <t>4.7. Associar Responsável Remetente: Faturamento&gt;Cadastros&gt;Auxiliares Nota Fiscal&gt;Remetentes N.F.&gt;Complementar&gt;Responsável&gt;Novo</t>
  </si>
  <si>
    <t>4.7.1. Responsável: Usuário logado</t>
  </si>
  <si>
    <t>4.7.1.1. Salvar</t>
  </si>
  <si>
    <t>4.8. Cadastrar 1º Documento Fiscal: Faturamento&gt;Cadastros&gt;Auxiliares Nota Fiscal&gt;Documentos Fiscais</t>
  </si>
  <si>
    <t>4.8.1.1. Dados Do Cadastro</t>
  </si>
  <si>
    <t>4.8.1.1.1. Número Atual: Valor no qual ainda não tenha sido utilizado</t>
  </si>
  <si>
    <t>4.8.1.1.2. Documento: Informar um registro qualquer</t>
  </si>
  <si>
    <t>4.8.1.1.3. Código do Modelo do Documento Fiscal: 57</t>
  </si>
  <si>
    <t>4.8.1.1.4. Espécie: CTRC</t>
  </si>
  <si>
    <t>4.8.1.1.5. CFOP Principal: 5.102</t>
  </si>
  <si>
    <t>4.8.1.1.6. Série: 1</t>
  </si>
  <si>
    <t>4.8.1.1.6.1. Salvar</t>
  </si>
  <si>
    <t>4.9. Cadastrar 2º Documento Fiscal: Faturamento&gt;Cadastros&gt;Auxiliares Nota Fiscal&gt;Documentos Fiscais</t>
  </si>
  <si>
    <t>4.9.1.1. Dados Do Cadastro</t>
  </si>
  <si>
    <t>4.9.1.1.1. Número Atual: Valor no qual ainda não tenha sido utilizado</t>
  </si>
  <si>
    <t>4.9.1.1.2. Documento: Informar um registro qualquer</t>
  </si>
  <si>
    <t>4.9.1.1.3. Código do Modelo do Documento Fiscal: 55</t>
  </si>
  <si>
    <t>4.9.1.1.4. Espécie: NFE</t>
  </si>
  <si>
    <t>4.9.1.1.5. CFOP Principal: 5.102</t>
  </si>
  <si>
    <t>4.9.1.1.6. Série: 1</t>
  </si>
  <si>
    <t>4.9.1.1.6.1. Salvar</t>
  </si>
  <si>
    <t>4.10. Cadastrar Produto: Gestão de Estoque&gt;Cadastros&gt;Produtos&gt;Novo</t>
  </si>
  <si>
    <t>4.10.1. 1° Produto</t>
  </si>
  <si>
    <t>4.10.1.1. Dados Do Cadastro</t>
  </si>
  <si>
    <t>4.10.1.1.1. Cabeçalho</t>
  </si>
  <si>
    <t>4.10.1.1.1.1. Descrição: #Insumo</t>
  </si>
  <si>
    <t>4.10.1.1.1.2. Categoria.: Insumo</t>
  </si>
  <si>
    <t>4.10.1.1.1.3. Menor Unidade de uso do Produto: Kg</t>
  </si>
  <si>
    <t>4.10.1.1.1.4. Preencher demais campos obrigatórios com qualquer valor, incluindo todos os planos de contas</t>
  </si>
  <si>
    <t>4.10.1.1.1.5. Salvar e confirmar com “Sim” a mensagem “Deseja Vincular o Produto ao Insumo? “</t>
  </si>
  <si>
    <t>4.10.1.1.1.6. Controle de Devolução de Embalagem: Marcado</t>
  </si>
  <si>
    <t>4.10.1.1.1.6.1. Preencher demais campos obrigatórios da tela com qualquer valor</t>
  </si>
  <si>
    <t>4.10.1.1.1.6.1.1. Salvar</t>
  </si>
  <si>
    <t>4.10.1.2. Vincular Embalagem: Gestão de Estoque&gt;Cadastros&gt;Produtos&gt;Complementar&gt;Funções&gt;Vinculações</t>
  </si>
  <si>
    <t>4.10.1.2.1. Aba “Embalagem”</t>
  </si>
  <si>
    <t>4.10.1.2.1.1. Embalagem: 238 – Saco 25 Kg</t>
  </si>
  <si>
    <t>4.10.2. 2° Produto</t>
  </si>
  <si>
    <t>4.10.2.1. Dados Do Cadastro</t>
  </si>
  <si>
    <t>4.10.2.1.1. Cabeçalho</t>
  </si>
  <si>
    <t>4.10.2.1.1.1. Descrição: #Suprimento</t>
  </si>
  <si>
    <t>4.10.2.1.1.2. Categoria.: Suprimento</t>
  </si>
  <si>
    <t>4.10.2.1.1.3. Menor Unidade de uso do Produto: Kg</t>
  </si>
  <si>
    <t>4.10.2.1.1.4. Preencher demais campos obrigatórios com qualquer valor, incluindo todos os planos de contas</t>
  </si>
  <si>
    <t>4.10.2.1.1.5. Salvar e confirmar com “Sim” a mensagem “Deseja Vincular o Produto ao Suprimento? “</t>
  </si>
  <si>
    <t>4.10.2.1.1.5.1. Preencher demais campos obrigatórios da tela com qualquer valor</t>
  </si>
  <si>
    <t>4.10.2.1.1.5.1.1. Salvar</t>
  </si>
  <si>
    <t>4.10.2.2. Vincular Embalagem: Gestão de Estoque&gt;Cadastros&gt;Produtos&gt;Complementar&gt;Funções&gt;Vinculações</t>
  </si>
  <si>
    <t>4.10.2.2.1. Aba “Embalagem”</t>
  </si>
  <si>
    <t>4.10.2.2.1.1. Embalagem: 238 – Saco 25 Kg</t>
  </si>
  <si>
    <t>4.10.3. 3º Produto</t>
  </si>
  <si>
    <t>4.10.3.1. Dados Do Cadastro</t>
  </si>
  <si>
    <t>4.10.3.1.1. Cabeçalho</t>
  </si>
  <si>
    <t>4.10.3.1.1.1. Descrição: #produtoacabado</t>
  </si>
  <si>
    <t>4.10.3.1.1.2. Categoria.: Produto Acabado</t>
  </si>
  <si>
    <t>4.10.3.1.1.3. Menor Unidade de uso do Produto: Kg</t>
  </si>
  <si>
    <t>4.10.3.1.1.4. Preencher demais campos obrigatórios com qualquer valor, incluindo todos os planos de contas</t>
  </si>
  <si>
    <t>4.10.3.1.1.4.1. Salvar</t>
  </si>
  <si>
    <t>4.10.3.2. Vincular Classificação: Gestão de Estoque&gt;Cadastros&gt;Produtos&gt;Complementar&gt;Funções&gt;Vinculações</t>
  </si>
  <si>
    <t>4.10.3.3. Vincular Tipo de Processo: Gestão de Estoque&gt;Cadastros&gt;Produtos&gt;Complementar&gt;Funções&gt;Vinculações</t>
  </si>
  <si>
    <t>4.10.3.4. Vincular Embalagem: Gestão de Estoque&gt;Cadastros&gt;Produtos&gt;Complementar&gt;Funções&gt;Vinculações</t>
  </si>
  <si>
    <t>4.10.3.4.1. Aba “Embalagem”</t>
  </si>
  <si>
    <t>4.10.3.4.1.1. Embalagem: 238 – Saco 25 Kg</t>
  </si>
  <si>
    <t>4.10.4. Associar uma alíquota ICMS para os produtos: Gestão de Estoque&gt;Cadastros&gt;Produtos&gt;%ICMS&gt;Novo</t>
  </si>
  <si>
    <t>4.10.4.1. 1º Produto</t>
  </si>
  <si>
    <t>4.10.4.1.1. Aba “UF”</t>
  </si>
  <si>
    <t>4.10.4.1.1.1. UF: MG</t>
  </si>
  <si>
    <t>4.10.4.1.2. CST: 040</t>
  </si>
  <si>
    <t>4.10.4.1.3. Alíquota: 0</t>
  </si>
  <si>
    <t>4.10.4.2. 2º Produto</t>
  </si>
  <si>
    <t>4.10.4.2.1. Aba “UF”</t>
  </si>
  <si>
    <t>4.10.4.2.1.1. UF: MG</t>
  </si>
  <si>
    <t>4.10.4.2.2. CST: 060</t>
  </si>
  <si>
    <t>4.10.4.2.3. Alíquota: 0</t>
  </si>
  <si>
    <t>4.10.4.3. 3º Produto</t>
  </si>
  <si>
    <t>4.10.4.3.1. Aba “UF”</t>
  </si>
  <si>
    <t>4.10.4.3.1.1. UF: MG</t>
  </si>
  <si>
    <t>4.10.4.3.2. CST: 500</t>
  </si>
  <si>
    <t>4.10.4.3.3. Alíquota: 3 - 18</t>
  </si>
  <si>
    <t>4.10.5. Adicionar Informações Fiscais para os produtos: Gestão de Estoque&gt;Cadastros&gt;Produtos&gt;Fiscal</t>
  </si>
  <si>
    <t>4.10.5.1. NCM: 5148 - -- Outros</t>
  </si>
  <si>
    <t>4.11. Cadastrar Veículo: Faturamento&gt;Cadastros&gt;Outras Auxiliares&gt;Veículo&gt;Novo</t>
  </si>
  <si>
    <t>4.11.1. Dados Do Cadastro</t>
  </si>
  <si>
    <t>4.11.1.1.1. Placa: AAA-1234</t>
  </si>
  <si>
    <t>4.11.1.1.2. Tipo Veículo: 2-Truck</t>
  </si>
  <si>
    <t>4.11.1.1.3. Município: São Gotardo (3162104)</t>
  </si>
  <si>
    <t>4.11.1.1.4. Renavam: 12345678901</t>
  </si>
  <si>
    <t>4.11.1.1.5. Preencher demais campos obrigatórios da tela com qualquer valor</t>
  </si>
  <si>
    <t>4.11.1.1.5.1. Salvar</t>
  </si>
  <si>
    <t>4.12. Cadastrar Armazém: Armazenamento&gt;Cadastros&gt;Armazéns&gt;Novo</t>
  </si>
  <si>
    <t>4.12.1. 1ºArmazém:</t>
  </si>
  <si>
    <t>4.12.1.1. Descrição: Armazém 1</t>
  </si>
  <si>
    <t>4.12.2. 2ºArmazém:</t>
  </si>
  <si>
    <t>4.12.2.1. Descrição: Armazém 2</t>
  </si>
  <si>
    <t>4.13. Bens</t>
  </si>
  <si>
    <t>4.13.1. Incluir um Bem: Patrimônio&gt;Bens&gt;Bens&gt;Novo</t>
  </si>
  <si>
    <t>4.13.1.1. Preencher todos os campos obrigatórios com qualquer valor</t>
  </si>
  <si>
    <t>4.13.1.1.1. Salvar</t>
  </si>
  <si>
    <t>4.13.2. Incluir Bem Custo: Patrimônio&gt;Bens&gt;Bens&gt;Complementar&gt;Funções&gt;Custo</t>
  </si>
  <si>
    <t>4.13.2.1. Tipo: Máquina e custo da hora a 1,00</t>
  </si>
  <si>
    <t>4.14. Almoxarifado: Gestão de Estoque&gt;Cadastros&gt;Almoxarifados&gt;Novo</t>
  </si>
  <si>
    <t>4.14.1. 1º Almoxarifado:</t>
  </si>
  <si>
    <t>4.14.1.1. Descrição: Almoxarifado 1</t>
  </si>
  <si>
    <t>4.14.2. 2º Almoxarifado:</t>
  </si>
  <si>
    <t>4.14.2.1. Descrição: Almoxarifado 2</t>
  </si>
  <si>
    <t>4.15. Tipos de Índices de Pesagem: Armazenamento&gt;Cadastros&gt;Índices de Pesagem&gt;Tipos de Índice&gt;Novo</t>
  </si>
  <si>
    <t>4.15.1. Código: 1</t>
  </si>
  <si>
    <t>4.15.2. Descrição: #umidade</t>
  </si>
  <si>
    <t>4.16. Índices de Pesagem: Armazenamento&gt;Cadastros&gt;Índices de Pesagem&gt; Índices&gt;Novo</t>
  </si>
  <si>
    <t>4.16.1. Tipo de Índice: 1- #umidade</t>
  </si>
  <si>
    <t>4.16.2. Índice/Porcentagem/Valor Serviço: 0,00</t>
  </si>
  <si>
    <t>5. Movimentações e Lançamentos:</t>
  </si>
  <si>
    <t>5.1. Ciclo Cotação</t>
  </si>
  <si>
    <t>5.1.1. Requisição</t>
  </si>
  <si>
    <t>5.1.1.1. Incluir Requisição: Cotação de Compras&gt;Lançamentos&gt;Requisições&gt;Novo</t>
  </si>
  <si>
    <t>5.1.1.1.1. Aba “Itens da Requisição”</t>
  </si>
  <si>
    <t>5.1.1.1.1.1. Quantidade: 1</t>
  </si>
  <si>
    <t>5.1.1.1.1.2. Produto: # insumo</t>
  </si>
  <si>
    <t>5.1.1.1.1.2.1. Preencher demais campos obrigatórios com qualquer valor</t>
  </si>
  <si>
    <t>5.1.1.1.1.2.1.1. Salvar e... sair.</t>
  </si>
  <si>
    <t>5.1.1.2. Aprovar requisição: Aprovar&gt;Total (Se usuário possuir privilégio “Aprovar Requisição Automática” dispensa esse passo)</t>
  </si>
  <si>
    <t>5.2. Cotação</t>
  </si>
  <si>
    <t>5.2.1. Realizar Cotação: Cotação de Compras&gt;Lançamentos&gt;Cotações</t>
  </si>
  <si>
    <t>5.2.1.1. Selecionar registro incluso passo 5.1.1.1</t>
  </si>
  <si>
    <t>5.2.1.1.1. Acionar botão “Fornecedor”</t>
  </si>
  <si>
    <t>5.2.1.1.1.1. Fornecedor: Informar qualquer registro</t>
  </si>
  <si>
    <t>5.2.1.1.1.1.1. Adicionar</t>
  </si>
  <si>
    <t>5.2.1.1.1.1.1.1. Acionar botão “Gerar” e gerar arquivo do tipo “Planilha” em uma determinada pasta</t>
  </si>
  <si>
    <t>5.2.1.1.1.1.1.2. Acionar botão “Retorno” e selecionar opção “Importação”</t>
  </si>
  <si>
    <t>5.2.1.1.1.2.1. Forma de Pagamento: Informar qualquer registro</t>
  </si>
  <si>
    <t>5.2.1.1.1.2.2. Meio de Pagamento: Informar qualquer registro</t>
  </si>
  <si>
    <t>5.2.1.1.1.2.3. Quantidade: 1</t>
  </si>
  <si>
    <t>5.2.1.1.1.2.4. Unitário: 100,00</t>
  </si>
  <si>
    <t>5.2.1.1.1.2.4.1.1. Salvar</t>
  </si>
  <si>
    <t>5.2.1.1.1.2.4.2. Vincular e... Fechar</t>
  </si>
  <si>
    <t>5.2.1.2. Acionar botão “Análise de Cotações”</t>
  </si>
  <si>
    <t>5.2.1.2.1. Dar duplo clique na célula para selecionar produto</t>
  </si>
  <si>
    <t>5.2.1.2.2. Acionar botão “Encomendar”</t>
  </si>
  <si>
    <t>5.2.2. Encomenda</t>
  </si>
  <si>
    <t>5.2.2.1. Entregar encomenda: Cotação de Compras&gt;Lançamentos&gt;Encomendas</t>
  </si>
  <si>
    <t>5.2.2.1.1. Selecionar registro incluso passo 4.2.2.1</t>
  </si>
  <si>
    <t>5.2.2.1.2. Acionar botão “Entrega” e selecionar opção “Manual”</t>
  </si>
  <si>
    <t>5.2.2.1.2.1. Vincular embalagem</t>
  </si>
  <si>
    <t>5.2.2.1.2.1.1. Confirmar</t>
  </si>
  <si>
    <t>5.2.2.1.2.1.1.1. Aba “Compra”</t>
  </si>
  <si>
    <t>5.2.2.1.2.1.1.1.1. CFOP: 1.102</t>
  </si>
  <si>
    <t>5.2.2.1.2.1.1.1.2. Aplicar mesmo CFOP aos produtos</t>
  </si>
  <si>
    <t>5.2.2.1.2.1.1.1.3. Almoxarifado: Informar um registro qualquer</t>
  </si>
  <si>
    <t>5.2.2.1.2.1.1.1.4. Emitente: Informar um registro qualquer</t>
  </si>
  <si>
    <t>5.2.2.1.2.1.1.1.5. Salvar e... Contas a Pagar</t>
  </si>
  <si>
    <t>5.2.2.1.2.1.1.1.6. Documento: Informar um registro qualquer</t>
  </si>
  <si>
    <t>5.2.2.1.2.1.1.1.7. Informar centro de custo caso solicitado</t>
  </si>
  <si>
    <t>5.2.2.1.2.1.1.1.8. Confirmar</t>
  </si>
  <si>
    <t>5.2.3. Compras</t>
  </si>
  <si>
    <t>5.2.3.1. Conferir compra: Cotação de Compras&gt;Lançamentos&gt;Compras</t>
  </si>
  <si>
    <t>5.2.3.1.1. Conferir a compra gerada do ciclo da cotação</t>
  </si>
  <si>
    <t>5.3. Compra</t>
  </si>
  <si>
    <t>5.3.1. Incluir compra: Gestão de Estoque&gt;Movimentações&gt;Compras&gt;Novo</t>
  </si>
  <si>
    <t>5.3.1.1. Cabeçalho</t>
  </si>
  <si>
    <t>5.3.1.1.1. Documento: 100</t>
  </si>
  <si>
    <t>5.3.1.1.2.</t>
  </si>
  <si>
    <t>5.3.1.1.3. CFOP: 1.102</t>
  </si>
  <si>
    <t>5.3.1.1.4. Almoxarifado: Almoxarifado 1</t>
  </si>
  <si>
    <t>5.3.1.2. Guia “Produtos”</t>
  </si>
  <si>
    <t>5.3.1.2.1. Quantidade: 1000</t>
  </si>
  <si>
    <t>5.3.1.2.2. Unitário: 20,00</t>
  </si>
  <si>
    <t>5.3.1.2.3. Produto: #Insumo</t>
  </si>
  <si>
    <t>5.3.1.2.4. Embalagem: 238 – Saco 25 Kg</t>
  </si>
  <si>
    <t>5.3.1.3. Totalizadores</t>
  </si>
  <si>
    <t>5.3.1.3.1. Valor do Frete: 150,00</t>
  </si>
  <si>
    <t>5.3.1.3.2. Valor do Seguro: 300,00</t>
  </si>
  <si>
    <t>5.3.1.3.2.1.1. Preencher demais campos obrigatórios com qualquer valor</t>
  </si>
  <si>
    <t>5.3.1.3.2.1.1.1. Resultado:</t>
  </si>
  <si>
    <t>5.3.1.3.2.1.1.1.1. Valor Total dos Produtos: 20.000,00</t>
  </si>
  <si>
    <t>5.3.1.3.2.1.1.1.2. Valor Total do Documento: 20.450,00</t>
  </si>
  <si>
    <t>5.3.1.3.2.1.1.1.3. Salvar</t>
  </si>
  <si>
    <t>5.3.1.3.2.1.1.2. Resultado no Almoxarifado 1: Gestão de Estoque&gt;Movimentações&gt;Estoque</t>
  </si>
  <si>
    <t>5.3.1.3.2.1.1.2.1. Estoque: 25.000 KG</t>
  </si>
  <si>
    <t>5.3.1.3.3. Gerar financeiro da compra</t>
  </si>
  <si>
    <t>5.3.1.3.3.1. Acionar botão “Financeiro”</t>
  </si>
  <si>
    <t>5.3.1.3.3.1.1. Documento: Informar um registro qualquer</t>
  </si>
  <si>
    <t>5.3.1.3.3.1.1.1. Confirmar</t>
  </si>
  <si>
    <t>5.4. Transferência entre Almoxarifados</t>
  </si>
  <si>
    <t>5.4.1. Realizar transferência: Gestão de Estoque&gt;Movimentações&gt;Transferência&gt;Novo</t>
  </si>
  <si>
    <t>5.4.1.1. Aba “Documento”</t>
  </si>
  <si>
    <t>5.4.1.1.1. Almoxarifado Origem: Almoxarifado 1</t>
  </si>
  <si>
    <t>5.4.1.1.2. Almoxarifado Destino: Almoxarifado 2</t>
  </si>
  <si>
    <t>5.4.1.2. Aba “Produtos”</t>
  </si>
  <si>
    <t>5.4.1.2.1. Quantidade: 500</t>
  </si>
  <si>
    <t>5.4.1.2.2. Produto: Produto “#Insumo”</t>
  </si>
  <si>
    <t>5.4.1.2.2.1. *Resultado:</t>
  </si>
  <si>
    <t>5.4.1.2.2.2. Almoxarifado 1: 24.500 KG</t>
  </si>
  <si>
    <t>5.4.1.2.2.3. Almoxarifado 2: 500 kg</t>
  </si>
  <si>
    <t>5.5. Controle EPI</t>
  </si>
  <si>
    <t>5.5.1. Incluir Controle de EPI: Gestão de Estoque&gt;Controles&gt;Controle EPI&gt;Novo</t>
  </si>
  <si>
    <t>5.5.1.1. Cabeçalho</t>
  </si>
  <si>
    <t>5.5.1.1.1. Documento: #EPI</t>
  </si>
  <si>
    <t>5.5.1.1.2. Empregado: Informar um registro qualquer</t>
  </si>
  <si>
    <t>5.5.1.2. Aba “Itens”</t>
  </si>
  <si>
    <t>5.5.1.2.1. Entrega: Data atual</t>
  </si>
  <si>
    <t>5.5.1.2.2. Quantidade: 1</t>
  </si>
  <si>
    <t>5.5.1.2.3. Produto: Informar um registro qualquer</t>
  </si>
  <si>
    <t>5.5.1.2.3.1. Preencher demais campos obrigatórios com qualquer valor</t>
  </si>
  <si>
    <t>5.5.1.2.3.1.1.1. Salvar</t>
  </si>
  <si>
    <t>5.5.2. Gerar Devolução</t>
  </si>
  <si>
    <t>5.5.2.1. Acionar botão “Devolução”</t>
  </si>
  <si>
    <t>5.5.2.1.1. Aba “Devoluções”</t>
  </si>
  <si>
    <t>5.5.2.1.1.1. Quantidade: 1</t>
  </si>
  <si>
    <t>5.5.2.1.1.1.1. Adicionar</t>
  </si>
  <si>
    <t>5.5.2.1.1.1.1.1. Salvar</t>
  </si>
  <si>
    <t>5.6. Manutenções</t>
  </si>
  <si>
    <t>5.6.1.1. Internas</t>
  </si>
  <si>
    <t>5.6.1.1.1. Incluir Manutenções Internas: Patrimônio&gt;Manutenções&gt;Internas&gt;Novo</t>
  </si>
  <si>
    <t>5.6.1.1.1.1. Preencher todos os campos obrigatórios com qualquer valor</t>
  </si>
  <si>
    <t>5.6.1.1.1.1.1.1. Salvar e... Concluir</t>
  </si>
  <si>
    <t>5.6.1.2. Terceiros</t>
  </si>
  <si>
    <t>5.6.1.2.1. Incluir Manutenções Terceiros: Patrimônio&gt;Manutenções&gt;Terceiros&gt;Novo</t>
  </si>
  <si>
    <t>5.6.1.2.1.1. Preencher todos os campos obrigatórios com qualquer valor</t>
  </si>
  <si>
    <t>5.6.1.2.1.1.1.1. Salvar e... Concluir</t>
  </si>
  <si>
    <t>5.6.1.2.2. Gerar financeiro da manutenção de terceiros</t>
  </si>
  <si>
    <t>5.6.1.2.2.1. Acionar botão “Financeiro” e selecionar opção “Gerar Individual”</t>
  </si>
  <si>
    <t>5.6.1.2.2.1.1. Documento: Informar um valor qualquer</t>
  </si>
  <si>
    <t>5.6.1.2.2.1.2. Informar centro de custo se necessário</t>
  </si>
  <si>
    <t>5.6.1.2.2.1.2.1. Confirmar</t>
  </si>
  <si>
    <t>5.7. Plantio</t>
  </si>
  <si>
    <t>5.7.1. Incluir Plantio: Gestão Agrícola&gt;Lançamentos&gt;Plantios&gt;Novo</t>
  </si>
  <si>
    <t>5.7.1.1. Cabeçalho</t>
  </si>
  <si>
    <t>5.7.1.1.1. Área de Plantio: 10,00</t>
  </si>
  <si>
    <t>5.7.1.1.2. Área: 10,00</t>
  </si>
  <si>
    <t>5.7.1.1.2.1. Preencher demais campos obrigatórios com qualquer valor</t>
  </si>
  <si>
    <t>5.7.1.1.2.1.1.1. Salvar</t>
  </si>
  <si>
    <t>5.8. Custos</t>
  </si>
  <si>
    <t>5.8.1. Incluir Custo: Gestão Agrícola&gt;Lançamentos&gt;Custos&gt;Novo</t>
  </si>
  <si>
    <t>5.8.1.1. Cabeçalho</t>
  </si>
  <si>
    <t>5.8.1.1.1. Atividade: Qualquer registro</t>
  </si>
  <si>
    <t>5.8.1.1.2. Fase: Qualquer registro</t>
  </si>
  <si>
    <t>5.8.1.2. Aba “Direcionador”</t>
  </si>
  <si>
    <t>5.8.1.2.1. Direcionador: Informar um registro qualquer</t>
  </si>
  <si>
    <t>5.8.1.2.1.1. Adicionar</t>
  </si>
  <si>
    <t>5.8.1.3. Aba “Itens”</t>
  </si>
  <si>
    <t>5.8.1.3.1. Acionar botão “Operações Mecanizadas”</t>
  </si>
  <si>
    <t>5.8.1.3.1.1. Cabeçalho</t>
  </si>
  <si>
    <t>5.8.1.3.1.1.1. Bem: Informar registro cadastrado passo “4.12“</t>
  </si>
  <si>
    <t>5.8.1.3.1.1.2. Início: 10.000</t>
  </si>
  <si>
    <t>5.8.1.3.1.1.3. Fim: 10.100</t>
  </si>
  <si>
    <t>5.8.1.3.1.1.3.1. Confirmar</t>
  </si>
  <si>
    <t>5.8.1.3.1.2. Aba “Implemento”</t>
  </si>
  <si>
    <t>5.8.1.3.1.2.1. Bem: Informar um registro qualquer</t>
  </si>
  <si>
    <t>5.8.1.3.1.2.1.1. Salvar e... Fechar</t>
  </si>
  <si>
    <t>5.8.1.3.2. Acionar o botão “Insumo”</t>
  </si>
  <si>
    <t>5.8.1.3.2.1. Quantidade: 5</t>
  </si>
  <si>
    <t>5.8.1.3.2.2. Insumo: #Insumo</t>
  </si>
  <si>
    <t>5.8.1.3.2.3. Almoxarifado: Almoxarifado 1</t>
  </si>
  <si>
    <t>5.8.1.3.2.4. Valor: 100,00</t>
  </si>
  <si>
    <t>5.8.1.3.2.4.1. Salvar e... Fechar</t>
  </si>
  <si>
    <t>5.8.1.3.3. Acionar o botão “Mão de Obra”</t>
  </si>
  <si>
    <t>5.8.1.3.3.1. Quantidade: 10</t>
  </si>
  <si>
    <t>5.8.1.3.3.2. Tipo: Terceirizada</t>
  </si>
  <si>
    <t>5.8.1.3.3.3. Valor: 150,00</t>
  </si>
  <si>
    <t>5.8.1.3.3.3.1. Salvar e... Fechar</t>
  </si>
  <si>
    <t>5.8.1.3.4. Aba “Outros Custos”</t>
  </si>
  <si>
    <t>5.8.1.3.4.1. Quantidade: 1000</t>
  </si>
  <si>
    <t>5.8.1.3.4.2. Valor: 10,00</t>
  </si>
  <si>
    <t>5.8.1.3.4.3. *Resultado</t>
  </si>
  <si>
    <t>5.8.1.3.4.3.1. Total Operações Mecanizadas: 100,0000</t>
  </si>
  <si>
    <t>5.8.1.3.4.3.2. Total Insumo: 500,0000</t>
  </si>
  <si>
    <t>5.8.1.3.4.3.3. Total Mão de Obra: 1.500,0000</t>
  </si>
  <si>
    <t>5.8.1.3.4.3.4. Total Outros Custos: 10.000,0000</t>
  </si>
  <si>
    <t>5.8.1.3.4.3.5. Total Geral: 12.100,0000</t>
  </si>
  <si>
    <t>5.8.1.3.4.3.5.1. Salvar e... Fechar</t>
  </si>
  <si>
    <t>5.8.2. Acionar botão “Financeiro”</t>
  </si>
  <si>
    <t>5.8.2.1. Filtrar</t>
  </si>
  <si>
    <t>5.8.2.2. Selecionar registro na guia “Custos”</t>
  </si>
  <si>
    <t>5.8.2.2.1. Confirmar guia</t>
  </si>
  <si>
    <t>5.8.2.3. Preencher todos os campos da guia “Financeiro” com um valor qualquer</t>
  </si>
  <si>
    <t>5.8.2.3.1. Confirmar</t>
  </si>
  <si>
    <t>5.8.2.3.1.1. Verificar se foi gerado contas a pagar do custo: Gestão Financeira&gt; Lançamentos&gt;Contas a Pagar</t>
  </si>
  <si>
    <t>5.9. Pré-Venda</t>
  </si>
  <si>
    <t>5.9.1. Incluir Pré-Venda: Faturamento&gt;Lançamentos&gt;Pré-Venda&gt;Novo</t>
  </si>
  <si>
    <t>5.9.1.1. Preencher todos os campos obrigatórios com um valor qualquer e salvar.</t>
  </si>
  <si>
    <t>5.9.1.2. Salvar e... Fechar</t>
  </si>
  <si>
    <t>5.10. Vendas</t>
  </si>
  <si>
    <t>5.10.1. Incluir Venda: Faturamento&gt;Lançamentos&gt;Vendas&gt;Novo</t>
  </si>
  <si>
    <t>5.10.1.1. Cabeçalho</t>
  </si>
  <si>
    <t>5.10.1.1.1. Número: 100000</t>
  </si>
  <si>
    <t>5.10.1.1.2. Forma de Pagamento: Cheque</t>
  </si>
  <si>
    <t>5.10.1.1.3. Preencher os demais campos obrigatórios</t>
  </si>
  <si>
    <t>5.10.1.2. Guia “Produtos”</t>
  </si>
  <si>
    <t>5.10.1.2.1. Quantidade: 150</t>
  </si>
  <si>
    <t>5.10.1.2.2. Produto: #produtoacabado</t>
  </si>
  <si>
    <t>5.10.1.2.3. Embalagem: 238 – Saco 25 Kg</t>
  </si>
  <si>
    <t>5.10.1.2.4. Unitário: 15,00</t>
  </si>
  <si>
    <t>5.10.1.2.5. Total de Produtos: 2.250,00</t>
  </si>
  <si>
    <t>5.10.1.2.6. ICMS Frete: 250,00</t>
  </si>
  <si>
    <t>5.10.1.2.7. Total da Venda: 2.500,00</t>
  </si>
  <si>
    <t>5.10.1.2.7.1. Salvar e... Fechar</t>
  </si>
  <si>
    <t>5.11. Nota Fiscal Eletrônica</t>
  </si>
  <si>
    <t>5.11.1. Incluir Nota Fiscal Eletrônica: Faturamento&gt;Lançamentos&gt;Notas Fiscais&gt;Novo</t>
  </si>
  <si>
    <t>5.11.1.1. Cabeçalho</t>
  </si>
  <si>
    <t>5.11.1.1.1. Remetente: Registro cadastrado passo 4.5</t>
  </si>
  <si>
    <t>5.11.1.1.2. Nº Documento: Valor no qual ainda não tenha sido utilizado</t>
  </si>
  <si>
    <t>5.11.1.1.3. CFOP: 5.102</t>
  </si>
  <si>
    <t>5.11.1.1.4. Consumidor Final: Marcado</t>
  </si>
  <si>
    <t>5.11.1.1.5. Destinatário: Informar um registro cadastrado para dentro do estado</t>
  </si>
  <si>
    <t>5.11.1.1.6. Frete por Conta: Emitente</t>
  </si>
  <si>
    <t>5.11.1.1.7. Veículo: Registro cadastrado no passo 4.10</t>
  </si>
  <si>
    <t>5.11.1.1.8. Transportador: Informar um registro qualquer</t>
  </si>
  <si>
    <t>5.11.1.1.8.1. Confirmar</t>
  </si>
  <si>
    <t>5.11.1.2. Guia “Produtos”;</t>
  </si>
  <si>
    <t>5.11.1.2.1. Acionar botão “Incluir”</t>
  </si>
  <si>
    <t>5.11.1.2.1.1. Produto: #produtoacabado</t>
  </si>
  <si>
    <t>5.11.1.2.1.2. Embalagem: 238 – Saco 25 Kg</t>
  </si>
  <si>
    <t>5.11.1.2.1.3. Quantidade: 1.000</t>
  </si>
  <si>
    <t>5.11.1.2.1.4. Unitário: 25,00</t>
  </si>
  <si>
    <t>5.11.1.2.1.5. Guia “Tributação”</t>
  </si>
  <si>
    <t>5.11.1.2.1.5.1. Preencher campos obrigatórios da guia</t>
  </si>
  <si>
    <t>5.11.1.2.1.6. Salvar</t>
  </si>
  <si>
    <t>5.11.1.2.2. Guia “Informações de Pagamento”</t>
  </si>
  <si>
    <t>5.11.1.2.3. Informar guia</t>
  </si>
  <si>
    <t>5.11.1.3. Guia “Detalhes”</t>
  </si>
  <si>
    <t>5.11.1.3.1. Valor do Frete: 120,00</t>
  </si>
  <si>
    <t>5.11.1.3.2. Seguro: 100,00</t>
  </si>
  <si>
    <t>5.11.1.3.2.1. Valor Total da Nota: 25.220,00</t>
  </si>
  <si>
    <t>5.11.1.3.2.2. Salvar</t>
  </si>
  <si>
    <t>5.11.1.3.2.3. Acionar botão “Enviar XML” e confirmar operação</t>
  </si>
  <si>
    <t>5.11.1.3.2.4. Confirmar envio de XML definitivo</t>
  </si>
  <si>
    <t>5.12. Conhecimento de Transporte Eletrônico – CTe</t>
  </si>
  <si>
    <t>5.12.1. Incluir CTe: Faturamento&gt;Lançamentos&gt;Conhecimentos de Transporte&gt;Novo</t>
  </si>
  <si>
    <t>5.12.1.1. Cabeçalho</t>
  </si>
  <si>
    <t>5.12.1.1.1. Documento: Registro cadastrado passo 4.8</t>
  </si>
  <si>
    <t>5.12.1.1.2. Nº Documento: 1</t>
  </si>
  <si>
    <t>5.12.1.1.3. CFOP: 5.351</t>
  </si>
  <si>
    <t>5.12.1.1.4. Emitente: Registro cadastrado passo 4.5</t>
  </si>
  <si>
    <t>5.12.1.1.5. Remetente: Registro cadastrado passo 4.5</t>
  </si>
  <si>
    <t>5.12.1.1.6. Destinatário: Informar registro cadastrado para dentro do estado</t>
  </si>
  <si>
    <t>5.12.1.1.7. Motorista: Informar um registro qualquer que tenha RNTRC no cadastro</t>
  </si>
  <si>
    <t>5.12.1.1.8. Veículo: Informar registro cadastrado no passo 4.10</t>
  </si>
  <si>
    <t>5.12.1.1.9. DOCUMENTO VINCULADO: 2-NFe</t>
  </si>
  <si>
    <t>5.12.1.2. Aba “Composição do Frete”</t>
  </si>
  <si>
    <t>5.12.1.2.1. Valor do Frete: 1000,00</t>
  </si>
  <si>
    <t>5.12.1.2.2. Peso Líquido(KG): 45.000</t>
  </si>
  <si>
    <t>5.12.1.2.3. Volume(M/L): 44.000</t>
  </si>
  <si>
    <t>5.12.1.2.4. Pedágio: 15,00</t>
  </si>
  <si>
    <t>5.12.1.3. Aba “Mercadoria Transportadora”</t>
  </si>
  <si>
    <t>5.12.1.3.1. Quantidade: 45.000</t>
  </si>
  <si>
    <t>5.12.1.3.2. Produto Predominante: Informar um registro qualquer</t>
  </si>
  <si>
    <t>5.12.1.3.3. Espécie: 1</t>
  </si>
  <si>
    <t>5.12.1.3.4. Valor total do Item: 1.015,00</t>
  </si>
  <si>
    <t>5.12.1.4.1. Acionar botão “Vincular”</t>
  </si>
  <si>
    <t>5.12.1.4.2. Vincular Nota Fiscal cadastrada no passo 5.11</t>
  </si>
  <si>
    <t>5.12.1.4.2.1. Salvar</t>
  </si>
  <si>
    <t>5.12.1.4.2.2. Enviar XML</t>
  </si>
  <si>
    <t>5.12.1.4.2.3. Confirmar envio do XML definitivo</t>
  </si>
  <si>
    <t>5.13. Armazenamento</t>
  </si>
  <si>
    <t>5.13.1. Pesagem</t>
  </si>
  <si>
    <t>5.13.1.1. Realizar uma Pesagem: Armazenamento&gt;Movimentações&gt;Pesagem&gt;Novo</t>
  </si>
  <si>
    <t>5.13.1.1.1. Cabeçalho</t>
  </si>
  <si>
    <t>5.13.1.1.1.1. Ticket: 1</t>
  </si>
  <si>
    <t>5.13.1.1.1.2. Produto: #Insumo</t>
  </si>
  <si>
    <t>5.13.1.1.1.3. Armazém: Armazém 1</t>
  </si>
  <si>
    <t>5.13.1.1.2. Aba “Peso”</t>
  </si>
  <si>
    <t>5.13.1.1.2.1. Entrada: 45.000</t>
  </si>
  <si>
    <t>5.13.1.1.2.2. Saída: 15.000</t>
  </si>
  <si>
    <t>5.13.1.1.3. Aba “Sacas”</t>
  </si>
  <si>
    <t>5.13.1.1.3.1. Peso Unitário: 60 KG</t>
  </si>
  <si>
    <t>5.13.1.1.3.1.1.1. Resultado</t>
  </si>
  <si>
    <t>5.13.1.1.3.1.1.1.1. Líquido: 30.000</t>
  </si>
  <si>
    <t>5.13.1.1.4. Aba “Descontos no Peso”</t>
  </si>
  <si>
    <t>5.13.1.1.4.1. Tipo de Índice: 1 - #Umidade</t>
  </si>
  <si>
    <t>5.13.1.1.4.2. Índice: 0</t>
  </si>
  <si>
    <t>5.13.1.1.5. Salvar e ... Fechar (Não informar serviço)</t>
  </si>
  <si>
    <t>5.13.2. Transferência entre Armazéns</t>
  </si>
  <si>
    <t>5.13.2.1. Realizar uma transferência: Armazenamento&gt;Movimentações&gt;Estoque&gt;Transferência</t>
  </si>
  <si>
    <t>5.13.2.1.1. Produtor: Informar um registro qualquer</t>
  </si>
  <si>
    <t>5.13.2.1.2. Armazém: Armazém 2</t>
  </si>
  <si>
    <t>5.13.2.1.3. Quantidade: 15.000</t>
  </si>
  <si>
    <t>5.13.2.1.3.1. Confirmar</t>
  </si>
  <si>
    <t>5.13.2.1.3.1.1. *Resultado</t>
  </si>
  <si>
    <t>5.13.2.1.3.1.1.1. Estoque Armazém 1: 15.000</t>
  </si>
  <si>
    <t>5.13.2.1.3.1.1.2. Estoque Armazém 2: 15.000</t>
  </si>
  <si>
    <t>5.13.3. Saída</t>
  </si>
  <si>
    <t>5.13.3.1. Realizar uma Saída: Armazenamento&gt;Movimentações&gt;Saídas&gt;Novo</t>
  </si>
  <si>
    <t>5.13.3.1.1. Cabeçalho</t>
  </si>
  <si>
    <t>5.13.3.1.1.1. Pedido: 15</t>
  </si>
  <si>
    <t>5.13.3.1.1.2. Produto: #Insumo</t>
  </si>
  <si>
    <t>5.13.3.1.2. Aba “Peso”</t>
  </si>
  <si>
    <t>5.13.3.1.2.1. Bruto: 10.000</t>
  </si>
  <si>
    <t>5.13.3.1.3. Aba “Sacas”</t>
  </si>
  <si>
    <t>5.13.3.1.3.1. Peso Unitário: 60</t>
  </si>
  <si>
    <t>5.13.3.1.4. Aba “Valor”</t>
  </si>
  <si>
    <t>5.13.3.1.4.1. Unitário: 50,00</t>
  </si>
  <si>
    <t>5.13.3.1.4.2. Armazém: Armazém 1</t>
  </si>
  <si>
    <t>5.13.3.1.4.2.1. Adicionar</t>
  </si>
  <si>
    <t>5.13.3.1.4.3. Total: 8.333,50</t>
  </si>
  <si>
    <t>5.13.3.1.4.3.1. Salvar e ... Fechar</t>
  </si>
  <si>
    <t>5.13.3.1.4.4. Resultado: Armazenamento&gt;Movimentações&gt;Estoques</t>
  </si>
  <si>
    <t>5.13.3.1.4.4.1. Estoque Armazém 1: 5.000</t>
  </si>
  <si>
    <t>5.13.3.1.4.4.2. Estoque Armazém 2: 15.000</t>
  </si>
  <si>
    <t>6. Lançamentos Avulsos das Finanças:</t>
  </si>
  <si>
    <t>6.1. Contas a Pagar</t>
  </si>
  <si>
    <t>6.1.1. Incluir Contas a Pagar em Lote: Gestão Financeira&gt;Lançamentos&gt;Contas a Pagar&gt;Novo&gt;Lançamento em Lote</t>
  </si>
  <si>
    <t>6.1.1.1. Aba “Dados do Documento”</t>
  </si>
  <si>
    <t>6.1.1.1.1. Número do 1º Documento: 1</t>
  </si>
  <si>
    <t>6.1.1.2. Segunda aba “Dados do Documento”</t>
  </si>
  <si>
    <t>6.1.1.2.1. Emissão: Data atual - 30 dias</t>
  </si>
  <si>
    <t>6.1.1.2.2. 1º Vencimento: Emissão + 29 dias</t>
  </si>
  <si>
    <t>6.1.1.2.3. Nº de Parcelas: 3</t>
  </si>
  <si>
    <t>6.1.1.2.4. Valor Total: 5.000,00</t>
  </si>
  <si>
    <t>6.1.1.3. Aba “Acréscimo/Desconto por Parcela”</t>
  </si>
  <si>
    <t>6.1.1.3.1. Multa após Vencimento: 10,00</t>
  </si>
  <si>
    <t>6.1.1.3.2. Tipo de Juros: Percentual</t>
  </si>
  <si>
    <t>6.1.1.3.3. %Juros/Mora ao Mês: 2,00</t>
  </si>
  <si>
    <t>6.1.1.3.4. Desconto: 235,00</t>
  </si>
  <si>
    <t>6.1.1.3.5. 1º Desconto até: Emissão + 25 dias</t>
  </si>
  <si>
    <t>6.1.1.3.5.1. Gerar Parcelas</t>
  </si>
  <si>
    <t>6.1.1.3.5.1.1. *Resultado:</t>
  </si>
  <si>
    <t>6.1.1.3.5.1.1.1. 2 Parcelas de 1.666,67 e 1 Parcela de 1.666,66</t>
  </si>
  <si>
    <t>6.1.1.3.5.1.2. Gerar a Contabilidade</t>
  </si>
  <si>
    <t>6.1.1.3.5.1.2.1. Informar contrapartida e centro de custo e salvar</t>
  </si>
  <si>
    <t>6.1.2. Autorizar Contas a Pagar: Gestão Financeira&gt;Lançamentos&gt;Contas a Pagar&gt;Complementar&gt;Autorização&gt;Autorizar&gt;Lote</t>
  </si>
  <si>
    <t>6.1.2.1. Aba “Contas”</t>
  </si>
  <si>
    <t>6.1.2.1.1. Selecionar as 3 parcelas geradas passo “6.1”</t>
  </si>
  <si>
    <t>6.1.2.2. Senha: Senha do usuário logado</t>
  </si>
  <si>
    <t>6.1.2.3. Justificativa: Valor qualquer que tenha 15 dígitos</t>
  </si>
  <si>
    <t>6.1.2.3.1. Salvar</t>
  </si>
  <si>
    <t>6.1.3. Baixa Contas a Pagar: Gestão Financeira&gt;Lançamentos&gt;Contas a Pagar&gt;Baixa</t>
  </si>
  <si>
    <t>6.1.3.1. Realizar baixa das parcelas geradas passo “6.1.1”</t>
  </si>
  <si>
    <t>6.1.3.1.1. Verificar se nas baixas das parcelas estão exibindo os valores:</t>
  </si>
  <si>
    <t>6.1.3.1.1.1. Multa por Atraso: 10,00 (1ª Parcela)</t>
  </si>
  <si>
    <t>6.1.3.1.1.2. Juros: 2,00 (1ª Parcela)</t>
  </si>
  <si>
    <t>6.1.3.1.1.3. Total: 1.678,77 (1ª Parcela)</t>
  </si>
  <si>
    <t>6.1.3.1.1.4. Descontos Obtidos: 235,00 (2/3ª Parcelas)</t>
  </si>
  <si>
    <t>6.1.3.1.1.5. Total: 1.431,67 (2/3ª Parcelas)</t>
  </si>
  <si>
    <t>6.1.3.2. Acionar botão “Gerar Contabilidade”</t>
  </si>
  <si>
    <t>6.1.3.2.1. Salvar</t>
  </si>
  <si>
    <t>6.1.3.3. Resultado Lançamentos Contábeis: Gestão Financeira&gt;Lançamentos&gt;Contábeis</t>
  </si>
  <si>
    <t>6.1.3.3.1. 1 Parcela de 1.677,77</t>
  </si>
  <si>
    <t>6.1.3.3.2. 1 Parcela de 1.666,67</t>
  </si>
  <si>
    <t>6.1.3.3.3. 1 Parcela de 1.666,66</t>
  </si>
  <si>
    <t>6.1.3.3.4. Detalhes nas Partidas (F6)</t>
  </si>
  <si>
    <t>6.1.3.3.5. 1 Parcela de 1.677,77</t>
  </si>
  <si>
    <t>6.1.3.3.6. 1 Parcela de 1.431,67</t>
  </si>
  <si>
    <t>6.1.3.3.7. 1 Parcela de 1.431,66</t>
  </si>
  <si>
    <t>6.2. Contas a Receber</t>
  </si>
  <si>
    <t>6.2.1. Incluir Contas a Receber: Gestão Financeira&gt;Lançamentos&gt;Contas a Receber&gt;Novo</t>
  </si>
  <si>
    <t>6.2.1.1. Aba “Dados do Documento”</t>
  </si>
  <si>
    <t>6.2.1.1.1. Número do Documento: 1</t>
  </si>
  <si>
    <t>6.2.1.2. Aba “Posicionamento”</t>
  </si>
  <si>
    <t>6.2.1.2.1. Valor: 7.535,00</t>
  </si>
  <si>
    <t>6.2.1.3. Aba “Atividade Rural”</t>
  </si>
  <si>
    <t>6.2.1.3.1. Gerar Exportação: Marcado</t>
  </si>
  <si>
    <t>6.2.1.3.2. Empresa Destino: 12</t>
  </si>
  <si>
    <t>6.2.1.3.2.1. Gerar a Contabilidade</t>
  </si>
  <si>
    <t>6.2.1.3.2.1.1. Informar contrapartida e salvar</t>
  </si>
  <si>
    <t>6.2.2. Baixa Contas a Receber: Gestão Financeira&gt;Lançamentos&gt;Contas a Receber&gt;Baixa</t>
  </si>
  <si>
    <t>6.2.2.1. Descontos: 535,90</t>
  </si>
  <si>
    <t>6.2.2.2. Total: 6.999,10</t>
  </si>
  <si>
    <t>6.2.2.2.1. Gerar contabilidade</t>
  </si>
  <si>
    <t>6.2.2.2.1.1. Resultado Lançamentos Contábeis: Gestão Financeira&gt;Lançamentos&gt;Contábeis&gt;F6</t>
  </si>
  <si>
    <t>6.2.2.2.1.2. 1 Parcela de 7.535,00 (F6): 6.999,10</t>
  </si>
  <si>
    <t>6.2.2.3. Consultar Lançamentos Contábeis na empresa destino informada no passo “6.2.1.3.2” e verificar se a CR consta na tela</t>
  </si>
  <si>
    <t>6.3. Boleto</t>
  </si>
  <si>
    <t>6.3.1. Inclusão de Boletos: Gestão Financeira&gt;Contas&gt;Boletos de Cobrança&gt;Emitir Boleto de Cobrança</t>
  </si>
  <si>
    <t>6.3.1.1. Cabeçalho</t>
  </si>
  <si>
    <t>6.3.1.1.1. Conta Bancária: 179</t>
  </si>
  <si>
    <t>6.3.1.2. Filtrar e marcar um item no grid</t>
  </si>
  <si>
    <t>6.4. Registro de Saídas</t>
  </si>
  <si>
    <t>6.4.1. Incluir um registro de saída: Gestão Fiscal&gt;Lançamentos&gt;Registros de Saídas&gt;Novo</t>
  </si>
  <si>
    <t>6.4.1.1. Cabeçalho</t>
  </si>
  <si>
    <t>6.4.1.1.1. Documento: Informar registro cadastrado com modelo 55</t>
  </si>
  <si>
    <t>6.4.1.1.2. Destinatário: Informar um registro qualquer para dentro do estado</t>
  </si>
  <si>
    <t>6.4.1.1.3. CFOP: 5.102</t>
  </si>
  <si>
    <t>6.4.1.1.4. Total Documento: 100,00</t>
  </si>
  <si>
    <t>6.4.1.1.4.1. Confirmar</t>
  </si>
  <si>
    <t>6.4.1.2. Guia “Distribuição do Imposto”</t>
  </si>
  <si>
    <t>6.4.1.2.1. Informar a guia</t>
  </si>
  <si>
    <t>6.4.1.2.1.1. Gerar Contabilidade</t>
  </si>
  <si>
    <t>6.4.1.2.1.1.1. Informar contrapartida e salvar.</t>
  </si>
  <si>
    <t>6.5. Registro de Entrada</t>
  </si>
  <si>
    <t>6.5.1. Incluir um registro de Entrada: Gestão Fiscal&gt;Lançamentos&gt;Registros de Entradas&gt;Novo</t>
  </si>
  <si>
    <t>6.5.1.1. Cabeçalho</t>
  </si>
  <si>
    <t>6.5.1.1.1. Documento: 100</t>
  </si>
  <si>
    <t>6.5.1.1.2. Remetente: Informar um registro qualquer para dentro do estado</t>
  </si>
  <si>
    <t>6.5.1.1.3. CFOP: 1.102</t>
  </si>
  <si>
    <t>6.5.1.1.4. Valor Total do Documento: 150,00</t>
  </si>
  <si>
    <t>6.5.1.1.4.1. Confirmar</t>
  </si>
  <si>
    <t>6.5.1.2. Guia “ICMS/IPI”</t>
  </si>
  <si>
    <t>6.5.1.2.1. Informar a guia</t>
  </si>
  <si>
    <t>6.5.1.2.1.1. Gerar Contabilidade</t>
  </si>
  <si>
    <t>6.5.1.2.1.1.1. Informar contrapartida e salvar.</t>
  </si>
  <si>
    <t>7. Lançamentos do RH:</t>
  </si>
  <si>
    <t>7.1. Folha</t>
  </si>
  <si>
    <t>7.1.1. Incluir Folha de Pagamento: Recursos Humanos&gt;Lançamentos&gt;Proventos&gt;Folha</t>
  </si>
  <si>
    <t>7.1.1.1. Selecionar um registro no grid e acionar botão “Processar Folha”</t>
  </si>
  <si>
    <t>7.1.1.2. Acionar botão “Calcular”</t>
  </si>
  <si>
    <t>7.1.1.3. Gerar recibo de pagamento de salário: Relatório&gt;Outros&gt;Recibo de Pagamento de Salário</t>
  </si>
  <si>
    <t>7.1.1.3.1. Selecionar registro passo “8.1.1” no grid e acionar botão “Imprimir”</t>
  </si>
  <si>
    <t>7.2. Férias</t>
  </si>
  <si>
    <t>7.2.1. Incluir Férias: Recursos Humanos&gt;Lançamentos&gt;Proventos&gt;Férias&gt;Novo</t>
  </si>
  <si>
    <t>7.2.1.1. Empregado: Informar um registro qualquer que não tenha período fechado</t>
  </si>
  <si>
    <t>7.2.1.2. Acionar botão “Gerar Férias”</t>
  </si>
  <si>
    <t>7.2.1.3. Selecionar o empregado informado no passo “8.2.1.1”;</t>
  </si>
  <si>
    <t>7.2.1.3.1. Acionar botão “Calcular”</t>
  </si>
  <si>
    <t>7.2.1.4. Gerar recibo de Férias: Relatório&gt;Outros&gt;Recibo de Férias</t>
  </si>
  <si>
    <t>7.2.1.4.1. Selecionar registro passo “8.2.1.1” no grid e acionar botão “Imprimir”</t>
  </si>
  <si>
    <t>7.3. Rescisão</t>
  </si>
  <si>
    <t>7.3.1. Incluir Rescisão de Contrato: Recursos Humanos&gt;Lançamentos&gt;Proventos&gt;Rescisão&gt;Novo</t>
  </si>
  <si>
    <t>7.3.1.1. Empregado: Informar um registro qualquer que não tenha período fechado</t>
  </si>
  <si>
    <t>7.3.1.2. Preencher os campos necessários</t>
  </si>
  <si>
    <t>7.3.1.3. Acionar botão “Gerar Rescisão”</t>
  </si>
  <si>
    <t>7.3.1.4. Selecionar o empregado informado no passo “7.3.1.1”;</t>
  </si>
  <si>
    <t>7.3.1.4.1. Acionar botão “Calcular”</t>
  </si>
  <si>
    <t>7.3.1.5. Gerar termo de rescisão de contrato: Relatório&gt;Outros&gt;Termo de Rescisão de Contrato</t>
  </si>
  <si>
    <t>7.3.1.5.1. Selecionar registro passo “7.3.1” no grid e acionar botão “Imprimir”</t>
  </si>
  <si>
    <t>7.4. 13º Salário</t>
  </si>
  <si>
    <t>7.4.1. Incluir 13°Salário: Recursos Humanos&gt;Lançamentos&gt;Proventos&gt;13º Salário</t>
  </si>
  <si>
    <t>7.4.1.1. Selecionar um registro no grid e acionar botão “Processar Folha”</t>
  </si>
  <si>
    <t>7.4.1.2. Acionar botão “Calcular”</t>
  </si>
  <si>
    <t>7.4.1.3. Gerar Recibo de 13º Salário: Relatório&gt;Outros&gt;Recibo de 13º Salário</t>
  </si>
  <si>
    <t>7.4.1.3.1. Selecionar registro passo “8.4.1” no grid e acionar botão “Imprimir”</t>
  </si>
  <si>
    <t>8. Financeiro da Folha:</t>
  </si>
  <si>
    <t>8.1. Incluir Financeiro da Folha: Recursos Humanos&gt;Lançamentos&gt;Proventos&gt;Financeiro</t>
  </si>
  <si>
    <t>8.1.1. Realizar o filtro</t>
  </si>
  <si>
    <t>8.1.2. Selecionar registro passo 7.1 na guia “Proventos”</t>
  </si>
  <si>
    <t>8.1.2.1. Salvar</t>
  </si>
  <si>
    <t>9. Pagamento da Folha:</t>
  </si>
  <si>
    <t>9.1. Incluir Pagamento da Folha: Recursos Humanos&gt;Lançamentos&gt;Proventos&gt;Pagamento</t>
  </si>
  <si>
    <t>9.1.1. Realizar o filtro</t>
  </si>
  <si>
    <t>9.1.2. Selecionar registro passo 7.1 na guia “Proventos”</t>
  </si>
  <si>
    <t>9.1.3. Guia “Pagamento”</t>
  </si>
  <si>
    <t>9.1.3.1. Documento: Informar um registro qualquer</t>
  </si>
  <si>
    <t>9.1.3.2. Número Documento: 1</t>
  </si>
  <si>
    <t>9.1.3.3. Conta Bancária: 179</t>
  </si>
  <si>
    <t>9.1.3.3.1. Salvar</t>
  </si>
  <si>
    <t>3. Parametrização</t>
  </si>
  <si>
    <t>4.1. Cadastrar Usuário</t>
  </si>
  <si>
    <t>4.5. Configurar Conta Movimento</t>
  </si>
  <si>
    <t>4.6.1.1.1.1.4.1. Número: 68A6EE02BA5474B7   -   420B58D2B08C6523</t>
  </si>
  <si>
    <t>4.6. Cadastrar Remetente Nfe</t>
  </si>
  <si>
    <t>4.8. Cadastrar 1º Documento Fiscal</t>
  </si>
  <si>
    <t>4.10.1. Cadastrar 1° Produto</t>
  </si>
  <si>
    <t>4.10.2. Cadastrar 2° Produto</t>
  </si>
  <si>
    <t>4.10.3. Cadastrar 3° Produto</t>
  </si>
  <si>
    <t>4.9. Cadastrar 2º Documento Fiscal</t>
  </si>
  <si>
    <t>Parametrizacao</t>
  </si>
  <si>
    <t>Funções/Subs</t>
  </si>
  <si>
    <t>CadastrarUsuario</t>
  </si>
  <si>
    <t>ConfigurarContaMovimento</t>
  </si>
  <si>
    <t>CadastrarRemetenteNFe</t>
  </si>
  <si>
    <t>Cadastrar1DocumentoFiscal</t>
  </si>
  <si>
    <t>Cadastrar2DocumentoFiscal</t>
  </si>
  <si>
    <t>CadastrarProduto;Insumo</t>
  </si>
  <si>
    <t>CadastrarProduto;Suprimento</t>
  </si>
  <si>
    <t>CadastrarProduto;Produtoacabado</t>
  </si>
  <si>
    <t>Posição</t>
  </si>
  <si>
    <t>Mensagem de Erro</t>
  </si>
  <si>
    <t>4.10.4. Associar alíquota ICMS aos produtos</t>
  </si>
  <si>
    <t>AssociarICMSaosProdutos</t>
  </si>
  <si>
    <t>4.10.5. Adicionar Informações Fiscais</t>
  </si>
  <si>
    <t>4.11. Cadastrar Veículo</t>
  </si>
  <si>
    <t>4.12. Cadastrar Armazém</t>
  </si>
  <si>
    <t>CadastrarVeiculo</t>
  </si>
  <si>
    <t>AdicionarInfoFiscais</t>
  </si>
  <si>
    <t>CadastrarArmazem</t>
  </si>
  <si>
    <t>Bens</t>
  </si>
  <si>
    <t>4.14. Almoxarifado</t>
  </si>
  <si>
    <t>Almoxarifado</t>
  </si>
  <si>
    <t>4.16. Índices de Pesagem</t>
  </si>
  <si>
    <t>IndicePesagem</t>
  </si>
  <si>
    <t>CicloCotacao</t>
  </si>
  <si>
    <t>Cotacao</t>
  </si>
  <si>
    <t>5.2.1.1.1.2. Realizar importação do arquivo passo “5.2.1.1.2” FOI FEITO MANUAL</t>
  </si>
  <si>
    <t>Compra</t>
  </si>
  <si>
    <t>TransferenciaAlmoxarifado</t>
  </si>
  <si>
    <t>ControleEPI</t>
  </si>
  <si>
    <t>Manutencoes</t>
  </si>
  <si>
    <t>Plantio</t>
  </si>
  <si>
    <t>Custos</t>
  </si>
  <si>
    <t>PreVenda</t>
  </si>
  <si>
    <t>Vendas</t>
  </si>
  <si>
    <t>NotaFiscalEletronica</t>
  </si>
  <si>
    <t>Cte</t>
  </si>
  <si>
    <t>5.12. Cte</t>
  </si>
  <si>
    <t>5.12.1.4. Guia “NF/NFe” FOI UTILIZADO A NFE MANUAL, VISTO QUE AINDA NÃO FOI CONFIRMADO A Nfe ANTERIOR</t>
  </si>
  <si>
    <t>Armazenamento</t>
  </si>
  <si>
    <t>Armazenamento\Pesagens</t>
  </si>
  <si>
    <t>ContasPagar</t>
  </si>
  <si>
    <t>ContasReceber</t>
  </si>
  <si>
    <t>Boleto</t>
  </si>
  <si>
    <t>RegistroDeSaida</t>
  </si>
  <si>
    <t>RegistroDeEntrada</t>
  </si>
  <si>
    <t>Folha</t>
  </si>
  <si>
    <t>Ferias</t>
  </si>
  <si>
    <t>Rescisao</t>
  </si>
  <si>
    <t>Salario13</t>
  </si>
  <si>
    <t>8. Financeiro da Folha</t>
  </si>
  <si>
    <t>FinanceiroFolha</t>
  </si>
  <si>
    <t>9. Pagamento da Folha</t>
  </si>
  <si>
    <t>PagamentoFolha</t>
  </si>
  <si>
    <t>Apagar imagem</t>
  </si>
  <si>
    <t>\Principal\ParametrosEmpresa\GestaoAgricola.jpg</t>
  </si>
  <si>
    <t>\Gestão Financeiro\Contas Bancárias\Conta.jpg</t>
  </si>
  <si>
    <t>EC001 - EC002</t>
  </si>
  <si>
    <t>Arquivo não existia e foi salvo com sucesso. Caminho arquivo:\\srv-dc\srv-arquivos$\SETOR DE QUALIDADE\Utilitários\5 - Teste Automatizado\Agro\3.42\Imagens\TST-05\Gestão Agrícola\Custos\Totais.jpg</t>
  </si>
  <si>
    <t>ET007 - ET008</t>
  </si>
  <si>
    <t>Arquivo não existia e foi salvo com sucesso. Caminho arquivo:\\srv-dc\srv-arquivos$\SETOR DE QUALIDADE\Utilitários\5 - Teste Automatizado\Agro\3.42\Imagens\TST-05\Faturamento\Vendas\Totalizador.jpg</t>
  </si>
  <si>
    <t>EZ001 - EZ002</t>
  </si>
  <si>
    <t>Arquivo não existia e foi salvo com sucesso. Caminho arquivo:\\srv-dc\srv-arquivos$\SETOR DE QUALIDADE\Utilitários\5 - Teste Automatizado\Agro\3.42\Imagens\TST-05\Armazenamento\Pesagens\Totais.jpg</t>
  </si>
  <si>
    <t>85,%</t>
  </si>
  <si>
    <t>EE003 - EE004</t>
  </si>
  <si>
    <t>Não foi encontrado a tela EE003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</si>
</sst>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0"/>
      <color rgb="FF548DD4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6"/>
      <name val="Calibri"/>
      <family val="2"/>
    </font>
    <font>
      <b/>
      <sz val="16"/>
      <color rgb="FF548DD4"/>
      <name val="Calibri"/>
      <family val="2"/>
    </font>
    <font>
      <sz val="11"/>
      <color theme="1"/>
      <name val="Agency FB"/>
      <family val="2"/>
    </font>
    <font>
      <sz val="11"/>
      <color theme="1"/>
      <name val="Calibri"/>
      <family val="2"/>
      <scheme val="minor"/>
    </font>
    <font>
      <sz val="3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b/>
      <sz val="20"/>
      <name val="Calibri"/>
      <family val="2"/>
      <scheme val="minor"/>
    </font>
    <font>
      <b/>
      <sz val="11.5"/>
      <name val="Calibri"/>
      <family val="2"/>
      <scheme val="minor"/>
    </font>
    <font>
      <sz val="11.5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.5"/>
      <color rgb="FFFF0000"/>
      <name val="Calibri"/>
      <family val="2"/>
      <scheme val="minor"/>
    </font>
    <font>
      <b/>
      <sz val="11.5"/>
      <color rgb="FFFF0000"/>
      <name val="Calibri"/>
      <family val="2"/>
      <scheme val="minor"/>
    </font>
    <font>
      <b/>
      <sz val="11.5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.5"/>
      <color theme="4"/>
      <name val="Calibri"/>
      <family val="2"/>
      <scheme val="minor"/>
    </font>
    <font>
      <sz val="11.5"/>
      <color theme="4"/>
      <name val="Calibri"/>
      <family val="2"/>
      <scheme val="minor"/>
    </font>
    <font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5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0" fillId="3" borderId="0"/>
    <xf numFmtId="0" fontId="11" fillId="4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58">
    <xf numFmtId="0" fontId="0" fillId="0" borderId="0" xfId="0"/>
    <xf numFmtId="0" fontId="1" fillId="2" borderId="1" xfId="1"/>
    <xf numFmtId="0" fontId="1" fillId="2" borderId="1" xfId="1" quotePrefix="1"/>
    <xf numFmtId="0" fontId="3" fillId="0" borderId="0" xfId="0" applyFont="1" applyAlignment="1">
      <alignment horizontal="left" vertical="center" indent="3"/>
    </xf>
    <xf numFmtId="0" fontId="4" fillId="0" borderId="0" xfId="0" applyFont="1" applyAlignment="1">
      <alignment horizontal="left" vertical="center" indent="5"/>
    </xf>
    <xf numFmtId="0" fontId="4" fillId="0" borderId="0" xfId="0" applyFont="1" applyAlignment="1">
      <alignment horizontal="left" vertical="center" indent="9"/>
    </xf>
    <xf numFmtId="0" fontId="4" fillId="0" borderId="0" xfId="0" applyFont="1" applyAlignment="1">
      <alignment horizontal="left" vertical="center" indent="1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5"/>
    </xf>
    <xf numFmtId="0" fontId="8" fillId="0" borderId="0" xfId="0" applyFont="1" applyAlignment="1">
      <alignment horizontal="left" vertical="center" indent="5"/>
    </xf>
    <xf numFmtId="0" fontId="5" fillId="0" borderId="0" xfId="0" applyFont="1" applyAlignment="1">
      <alignment horizontal="left" vertical="center" indent="15"/>
    </xf>
    <xf numFmtId="0" fontId="5" fillId="0" borderId="0" xfId="0" applyFont="1" applyAlignment="1">
      <alignment horizontal="left" vertical="center" indent="9"/>
    </xf>
    <xf numFmtId="0" fontId="5" fillId="0" borderId="0" xfId="0" applyFont="1" applyAlignment="1">
      <alignment horizontal="left" vertical="center" indent="12"/>
    </xf>
    <xf numFmtId="0" fontId="5" fillId="0" borderId="0" xfId="0" applyFont="1" applyAlignment="1">
      <alignment horizontal="left" vertical="center" indent="8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left" vertical="center" indent="3"/>
    </xf>
    <xf numFmtId="0" fontId="10" fillId="3" borderId="0" xfId="2"/>
    <xf numFmtId="0" fontId="1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11" xfId="0" applyBorder="1"/>
    <xf numFmtId="0" fontId="0" fillId="4" borderId="7" xfId="3" applyFont="1" applyBorder="1"/>
    <xf numFmtId="0" fontId="0" fillId="0" borderId="0" xfId="0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0" fillId="4" borderId="6" xfId="3" applyFont="1" applyBorder="1"/>
    <xf numFmtId="0" fontId="0" fillId="4" borderId="6" xfId="3" applyFont="1" applyBorder="1" applyAlignment="1">
      <alignment horizontal="left" vertical="top"/>
    </xf>
    <xf numFmtId="0" fontId="13" fillId="0" borderId="0" xfId="4" applyAlignment="1"/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49" fontId="1" fillId="2" borderId="1" xfId="1" applyNumberFormat="1"/>
    <xf numFmtId="49" fontId="0" fillId="0" borderId="0" xfId="0" applyNumberFormat="1"/>
    <xf numFmtId="0" fontId="0" fillId="0" borderId="0" xfId="0" applyAlignment="1">
      <alignment wrapText="1"/>
    </xf>
    <xf numFmtId="0" fontId="12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0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</cellXfs>
  <cellStyles count="5">
    <cellStyle name="40% - Ênfase1" xfId="3" builtinId="31"/>
    <cellStyle name="Célula de Verificação" xfId="1" builtinId="23"/>
    <cellStyle name="Normal" xfId="0" builtinId="0"/>
    <cellStyle name="Preto" xfId="2" xr:uid="{00000000-0005-0000-0000-000003000000}"/>
    <cellStyle name="Texto de Aviso" xfId="4" builtinId="11"/>
  </cellStyles>
  <dxfs count="0"/>
  <tableStyles count="0" defaultTableStyle="TableStyleMedium2" defaultPivotStyle="PivotStyleMedium9"/>
  <colors>
    <mruColors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'Banco de Dados'!$E$1" fmlaRange="'Banco de Dados'!$D$2:$D$41" noThreeD="1" sel="23" val="2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'Banco de Dados'!$B$1" fmlaRange="'Banco de Dados'!$A$2:$A$28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28575</xdr:rowOff>
        </xdr:from>
        <xdr:to>
          <xdr:col>5</xdr:col>
          <xdr:colOff>19050</xdr:colOff>
          <xdr:row>10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8</xdr:row>
          <xdr:rowOff>28575</xdr:rowOff>
        </xdr:from>
        <xdr:to>
          <xdr:col>6</xdr:col>
          <xdr:colOff>561975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Smoke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28575</xdr:rowOff>
        </xdr:from>
        <xdr:to>
          <xdr:col>5</xdr:col>
          <xdr:colOff>9525</xdr:colOff>
          <xdr:row>18</xdr:row>
          <xdr:rowOff>190500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8</xdr:row>
          <xdr:rowOff>28575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Buscar Roteiro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17</xdr:row>
          <xdr:rowOff>28575</xdr:rowOff>
        </xdr:from>
        <xdr:to>
          <xdr:col>6</xdr:col>
          <xdr:colOff>561975</xdr:colOff>
          <xdr:row>19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Smoke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17</xdr:row>
          <xdr:rowOff>28575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Buscar Roteiro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562121</xdr:colOff>
      <xdr:row>0</xdr:row>
      <xdr:rowOff>185487</xdr:rowOff>
    </xdr:from>
    <xdr:to>
      <xdr:col>3</xdr:col>
      <xdr:colOff>241133</xdr:colOff>
      <xdr:row>4</xdr:row>
      <xdr:rowOff>20053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121" y="185487"/>
          <a:ext cx="1462100" cy="5858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0</xdr:row>
          <xdr:rowOff>0</xdr:rowOff>
        </xdr:from>
        <xdr:to>
          <xdr:col>13</xdr:col>
          <xdr:colOff>0</xdr:colOff>
          <xdr:row>0</xdr:row>
          <xdr:rowOff>180975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Tela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5</xdr:row>
          <xdr:rowOff>266700</xdr:rowOff>
        </xdr:from>
        <xdr:to>
          <xdr:col>2</xdr:col>
          <xdr:colOff>571500</xdr:colOff>
          <xdr:row>5</xdr:row>
          <xdr:rowOff>561975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Configurar Banco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5</xdr:row>
          <xdr:rowOff>266700</xdr:rowOff>
        </xdr:from>
        <xdr:to>
          <xdr:col>4</xdr:col>
          <xdr:colOff>47625</xdr:colOff>
          <xdr:row>5</xdr:row>
          <xdr:rowOff>561975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Relatório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266700</xdr:rowOff>
        </xdr:from>
        <xdr:to>
          <xdr:col>4</xdr:col>
          <xdr:colOff>581025</xdr:colOff>
          <xdr:row>5</xdr:row>
          <xdr:rowOff>561975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1038225</xdr:colOff>
          <xdr:row>27</xdr:row>
          <xdr:rowOff>9525</xdr:rowOff>
        </xdr:from>
        <xdr:to>
          <xdr:col>10</xdr:col>
          <xdr:colOff>590550</xdr:colOff>
          <xdr:row>29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para o Desenvolvedor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1238250</xdr:colOff>
          <xdr:row>29</xdr:row>
          <xdr:rowOff>76200</xdr:rowOff>
        </xdr:from>
        <xdr:to>
          <xdr:col>10</xdr:col>
          <xdr:colOff>409575</xdr:colOff>
          <xdr:row>30</xdr:row>
          <xdr:rowOff>171450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Pasta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1209675</xdr:colOff>
          <xdr:row>35</xdr:row>
          <xdr:rowOff>104775</xdr:rowOff>
        </xdr:from>
        <xdr:to>
          <xdr:col>10</xdr:col>
          <xdr:colOff>428625</xdr:colOff>
          <xdr:row>37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A2:N19"/>
  <sheetViews>
    <sheetView showGridLines="0" tabSelected="1" topLeftCell="A4" zoomScale="186" zoomScaleNormal="186" workbookViewId="0">
      <selection activeCell="D6" sqref="D6"/>
    </sheetView>
  </sheetViews>
  <sheetFormatPr defaultRowHeight="15" x14ac:dyDescent="0.25"/>
  <cols>
    <col min="1" max="1" width="4.7109375" customWidth="1"/>
    <col min="2" max="2" width="9.140625" customWidth="1"/>
    <col min="5" max="6" width="9.140625" customWidth="1"/>
    <col min="9" max="9" width="10.140625" customWidth="1"/>
    <col min="10" max="10" width="10.42578125" customWidth="1"/>
    <col min="11" max="11" width="10.7109375" customWidth="1"/>
    <col min="12" max="12" width="12.140625" customWidth="1"/>
    <col min="13" max="13" width="12.42578125" customWidth="1"/>
  </cols>
  <sheetData>
    <row r="2" spans="1:14" ht="15" customHeight="1" x14ac:dyDescent="0.25">
      <c r="A2" s="19"/>
      <c r="B2" s="44" t="s">
        <v>22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4" ht="15" customHeight="1" x14ac:dyDescent="0.25">
      <c r="A3" s="19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</row>
    <row r="4" spans="1:14" ht="15" customHeight="1" x14ac:dyDescent="0.25">
      <c r="A4" s="19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</row>
    <row r="5" spans="1:14" ht="16.5" customHeight="1" x14ac:dyDescent="0.25"/>
    <row r="6" spans="1:14" ht="45" customHeight="1" x14ac:dyDescent="0.25">
      <c r="F6" s="34" t="str">
        <f>IF('Banco de Dados'!G4 &gt; 0, 'Banco de Dados'!G5," ")</f>
        <v>Erros Identificados:  5</v>
      </c>
      <c r="G6" s="20"/>
    </row>
    <row r="7" spans="1:14" x14ac:dyDescent="0.25">
      <c r="H7" s="49" t="s">
        <v>2</v>
      </c>
      <c r="I7" s="50"/>
      <c r="J7" s="50"/>
      <c r="K7" s="50"/>
      <c r="L7" s="50"/>
      <c r="M7" s="51"/>
    </row>
    <row r="8" spans="1:14" x14ac:dyDescent="0.25">
      <c r="B8" s="55" t="s">
        <v>7</v>
      </c>
      <c r="C8" s="56"/>
      <c r="D8" s="56"/>
      <c r="E8" s="56"/>
      <c r="F8" s="57"/>
      <c r="H8" s="52"/>
      <c r="I8" s="53"/>
      <c r="J8" s="53"/>
      <c r="K8" s="53"/>
      <c r="L8" s="53"/>
      <c r="M8" s="54"/>
    </row>
    <row r="9" spans="1:14" x14ac:dyDescent="0.25">
      <c r="H9" s="45" t="s">
        <v>1</v>
      </c>
      <c r="I9" s="46"/>
      <c r="J9" s="45" t="s">
        <v>566</v>
      </c>
      <c r="K9" s="48"/>
      <c r="L9" s="48"/>
      <c r="M9" s="46"/>
    </row>
    <row r="10" spans="1:14" x14ac:dyDescent="0.25">
      <c r="H10" s="45" t="s">
        <v>0</v>
      </c>
      <c r="I10" s="46"/>
      <c r="J10" s="47" t="s">
        <v>696</v>
      </c>
      <c r="K10" s="48"/>
      <c r="L10" s="48"/>
      <c r="M10" s="46"/>
    </row>
    <row r="13" spans="1:14" hidden="1" x14ac:dyDescent="0.25"/>
    <row r="14" spans="1:14" hidden="1" x14ac:dyDescent="0.25"/>
    <row r="16" spans="1:14" x14ac:dyDescent="0.25">
      <c r="H16" s="49" t="s">
        <v>8</v>
      </c>
      <c r="I16" s="50"/>
      <c r="J16" s="50"/>
      <c r="K16" s="50"/>
      <c r="L16" s="50"/>
      <c r="M16" s="51"/>
    </row>
    <row r="17" spans="2:13" x14ac:dyDescent="0.25">
      <c r="B17" s="55" t="s">
        <v>10</v>
      </c>
      <c r="C17" s="56"/>
      <c r="D17" s="56"/>
      <c r="E17" s="56"/>
      <c r="F17" s="57"/>
      <c r="H17" s="52"/>
      <c r="I17" s="53"/>
      <c r="J17" s="53"/>
      <c r="K17" s="53"/>
      <c r="L17" s="53"/>
      <c r="M17" s="54"/>
    </row>
    <row r="18" spans="2:13" x14ac:dyDescent="0.25">
      <c r="H18" s="45" t="s">
        <v>1</v>
      </c>
      <c r="I18" s="46"/>
      <c r="J18" s="45" t="s">
        <v>21</v>
      </c>
      <c r="K18" s="48"/>
      <c r="L18" s="48"/>
      <c r="M18" s="46"/>
    </row>
    <row r="19" spans="2:13" x14ac:dyDescent="0.25">
      <c r="H19" s="45" t="s">
        <v>0</v>
      </c>
      <c r="I19" s="46"/>
      <c r="J19" s="47">
        <v>0</v>
      </c>
      <c r="K19" s="48"/>
      <c r="L19" s="48"/>
      <c r="M19" s="46"/>
    </row>
  </sheetData>
  <mergeCells count="13">
    <mergeCell ref="B2:N4"/>
    <mergeCell ref="H19:I19"/>
    <mergeCell ref="J19:M19"/>
    <mergeCell ref="H7:M8"/>
    <mergeCell ref="H10:I10"/>
    <mergeCell ref="H9:I9"/>
    <mergeCell ref="J9:M9"/>
    <mergeCell ref="J10:M10"/>
    <mergeCell ref="H16:M17"/>
    <mergeCell ref="H18:I18"/>
    <mergeCell ref="J18:M18"/>
    <mergeCell ref="B8:F8"/>
    <mergeCell ref="B17:F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8</xdr:row>
                    <xdr:rowOff>28575</xdr:rowOff>
                  </from>
                  <to>
                    <xdr:col>5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IniciaSmokeBotao">
                <anchor moveWithCells="1">
                  <from>
                    <xdr:col>6</xdr:col>
                    <xdr:colOff>28575</xdr:colOff>
                    <xdr:row>8</xdr:row>
                    <xdr:rowOff>28575</xdr:rowOff>
                  </from>
                  <to>
                    <xdr:col>6</xdr:col>
                    <xdr:colOff>561975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Drop Down 3">
              <controlPr defaultSize="0" autoLine="0" autoPict="0">
                <anchor moveWithCells="1">
                  <from>
                    <xdr:col>1</xdr:col>
                    <xdr:colOff>0</xdr:colOff>
                    <xdr:row>17</xdr:row>
                    <xdr:rowOff>28575</xdr:rowOff>
                  </from>
                  <to>
                    <xdr:col>5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BuscarRoteiroSmoke">
                <anchor moveWithCells="1">
                  <from>
                    <xdr:col>5</xdr:col>
                    <xdr:colOff>28575</xdr:colOff>
                    <xdr:row>8</xdr:row>
                    <xdr:rowOff>28575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IniciaOutrosBotao">
                <anchor moveWithCells="1">
                  <from>
                    <xdr:col>6</xdr:col>
                    <xdr:colOff>28575</xdr:colOff>
                    <xdr:row>17</xdr:row>
                    <xdr:rowOff>28575</xdr:rowOff>
                  </from>
                  <to>
                    <xdr:col>6</xdr:col>
                    <xdr:colOff>561975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 macro="[0]!BuscarRoteiroGeral">
                <anchor moveWithCells="1">
                  <from>
                    <xdr:col>5</xdr:col>
                    <xdr:colOff>28575</xdr:colOff>
                    <xdr:row>17</xdr:row>
                    <xdr:rowOff>28575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Button 13">
              <controlPr defaultSize="0" print="0" autoFill="0" autoPict="0" macro="[0]!Ajustar">
                <anchor moveWithCells="1">
                  <from>
                    <xdr:col>12</xdr:col>
                    <xdr:colOff>247650</xdr:colOff>
                    <xdr:row>0</xdr:row>
                    <xdr:rowOff>0</xdr:rowOff>
                  </from>
                  <to>
                    <xdr:col>13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1" name="Button 14">
              <controlPr defaultSize="0" print="0" autoFill="0" autoPict="0" macro="[0]!ConfigurarBancoBotao">
                <anchor moveWithCells="1">
                  <from>
                    <xdr:col>0</xdr:col>
                    <xdr:colOff>600075</xdr:colOff>
                    <xdr:row>5</xdr:row>
                    <xdr:rowOff>266700</xdr:rowOff>
                  </from>
                  <to>
                    <xdr:col>2</xdr:col>
                    <xdr:colOff>571500</xdr:colOff>
                    <xdr:row>5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2" name="Button 15">
              <controlPr defaultSize="0" print="0" autoFill="0" autoPict="0" macro="[0]!RelatorioBotao">
                <anchor moveWithCells="1">
                  <from>
                    <xdr:col>2</xdr:col>
                    <xdr:colOff>590550</xdr:colOff>
                    <xdr:row>5</xdr:row>
                    <xdr:rowOff>266700</xdr:rowOff>
                  </from>
                  <to>
                    <xdr:col>4</xdr:col>
                    <xdr:colOff>47625</xdr:colOff>
                    <xdr:row>5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3" name="Button 16">
              <controlPr defaultSize="0" print="0" autoFill="0" autoPict="0" macro="[0]!BotãoLimpar">
                <anchor moveWithCells="1">
                  <from>
                    <xdr:col>4</xdr:col>
                    <xdr:colOff>76200</xdr:colOff>
                    <xdr:row>5</xdr:row>
                    <xdr:rowOff>266700</xdr:rowOff>
                  </from>
                  <to>
                    <xdr:col>4</xdr:col>
                    <xdr:colOff>581025</xdr:colOff>
                    <xdr:row>5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C1071"/>
  <sheetViews>
    <sheetView topLeftCell="A227" zoomScale="145" zoomScaleNormal="145" workbookViewId="0">
      <selection activeCell="A224" sqref="A224"/>
    </sheetView>
  </sheetViews>
  <sheetFormatPr defaultRowHeight="15" x14ac:dyDescent="0.25"/>
  <cols>
    <col min="1" max="1" width="169.5703125" customWidth="1"/>
    <col min="2" max="2" width="163.28515625" style="18" customWidth="1"/>
    <col min="3" max="3" width="202.42578125" customWidth="1"/>
  </cols>
  <sheetData>
    <row r="1" spans="1:3" ht="18" customHeight="1" x14ac:dyDescent="0.25">
      <c r="A1" s="37" t="s">
        <v>23</v>
      </c>
      <c r="C1" s="3"/>
    </row>
    <row r="2" spans="1:3" ht="15.75" x14ac:dyDescent="0.25">
      <c r="A2" s="25" t="s">
        <v>24</v>
      </c>
      <c r="C2" s="4"/>
    </row>
    <row r="3" spans="1:3" ht="15.75" x14ac:dyDescent="0.25">
      <c r="A3" s="25" t="s">
        <v>25</v>
      </c>
      <c r="C3" s="5"/>
    </row>
    <row r="4" spans="1:3" ht="15.75" x14ac:dyDescent="0.25">
      <c r="A4" s="26" t="s">
        <v>26</v>
      </c>
      <c r="C4" s="6"/>
    </row>
    <row r="5" spans="1:3" ht="15.75" x14ac:dyDescent="0.25">
      <c r="A5" s="26" t="s">
        <v>27</v>
      </c>
      <c r="C5" s="6"/>
    </row>
    <row r="6" spans="1:3" ht="15.75" x14ac:dyDescent="0.25">
      <c r="A6" s="25" t="s">
        <v>28</v>
      </c>
      <c r="C6" s="6"/>
    </row>
    <row r="7" spans="1:3" ht="15.75" x14ac:dyDescent="0.25">
      <c r="A7" s="26" t="s">
        <v>29</v>
      </c>
      <c r="C7" s="5"/>
    </row>
    <row r="8" spans="1:3" ht="15.75" x14ac:dyDescent="0.25">
      <c r="A8" s="25" t="s">
        <v>30</v>
      </c>
      <c r="C8" s="6"/>
    </row>
    <row r="9" spans="1:3" ht="15.75" x14ac:dyDescent="0.25">
      <c r="A9" s="25" t="s">
        <v>31</v>
      </c>
      <c r="C9" s="6"/>
    </row>
    <row r="10" spans="1:3" ht="15.75" x14ac:dyDescent="0.25">
      <c r="A10" s="26" t="s">
        <v>32</v>
      </c>
      <c r="C10" s="6"/>
    </row>
    <row r="11" spans="1:3" ht="15.75" x14ac:dyDescent="0.25">
      <c r="A11" s="25" t="s">
        <v>33</v>
      </c>
      <c r="C11" s="6"/>
    </row>
    <row r="12" spans="1:3" ht="15.75" x14ac:dyDescent="0.25">
      <c r="A12" s="25" t="s">
        <v>34</v>
      </c>
      <c r="C12" s="4"/>
    </row>
    <row r="13" spans="1:3" ht="15.75" x14ac:dyDescent="0.25">
      <c r="A13" s="26" t="s">
        <v>35</v>
      </c>
      <c r="C13" s="5"/>
    </row>
    <row r="14" spans="1:3" ht="15.75" x14ac:dyDescent="0.25">
      <c r="A14" s="25" t="s">
        <v>36</v>
      </c>
      <c r="C14" s="4"/>
    </row>
    <row r="15" spans="1:3" ht="26.25" x14ac:dyDescent="0.25">
      <c r="A15" s="27" t="s">
        <v>37</v>
      </c>
      <c r="C15" s="3"/>
    </row>
    <row r="16" spans="1:3" ht="15.75" x14ac:dyDescent="0.25">
      <c r="A16" s="27" t="s">
        <v>38</v>
      </c>
      <c r="C16" s="4"/>
    </row>
    <row r="17" spans="1:3" ht="15.75" x14ac:dyDescent="0.25">
      <c r="A17" s="25" t="s">
        <v>39</v>
      </c>
      <c r="C17" s="5"/>
    </row>
    <row r="18" spans="1:3" ht="15.75" x14ac:dyDescent="0.25">
      <c r="A18" s="25" t="s">
        <v>40</v>
      </c>
      <c r="C18" s="6"/>
    </row>
    <row r="19" spans="1:3" ht="15.75" x14ac:dyDescent="0.25">
      <c r="A19" s="25" t="s">
        <v>41</v>
      </c>
      <c r="C19" s="8"/>
    </row>
    <row r="20" spans="1:3" ht="15.75" x14ac:dyDescent="0.25">
      <c r="A20" s="25" t="s">
        <v>42</v>
      </c>
      <c r="C20" s="8"/>
    </row>
    <row r="21" spans="1:3" ht="15.75" x14ac:dyDescent="0.25">
      <c r="A21" s="26" t="s">
        <v>43</v>
      </c>
      <c r="C21" s="8"/>
    </row>
    <row r="22" spans="1:3" ht="15.75" x14ac:dyDescent="0.25">
      <c r="A22" s="26" t="s">
        <v>44</v>
      </c>
      <c r="C22" s="8"/>
    </row>
    <row r="23" spans="1:3" ht="15.75" x14ac:dyDescent="0.25">
      <c r="A23" s="25" t="s">
        <v>45</v>
      </c>
      <c r="C23" s="8"/>
    </row>
    <row r="24" spans="1:3" ht="15.75" x14ac:dyDescent="0.25">
      <c r="A24" s="26" t="s">
        <v>46</v>
      </c>
      <c r="C24" s="8"/>
    </row>
    <row r="25" spans="1:3" ht="15.75" x14ac:dyDescent="0.25">
      <c r="A25" s="25" t="s">
        <v>47</v>
      </c>
      <c r="C25" s="8"/>
    </row>
    <row r="26" spans="1:3" ht="15.75" x14ac:dyDescent="0.25">
      <c r="A26" s="25" t="s">
        <v>48</v>
      </c>
      <c r="C26" s="8"/>
    </row>
    <row r="27" spans="1:3" ht="15.75" x14ac:dyDescent="0.25">
      <c r="A27" s="30" t="s">
        <v>49</v>
      </c>
      <c r="C27" s="8"/>
    </row>
    <row r="28" spans="1:3" ht="15.75" x14ac:dyDescent="0.25">
      <c r="A28" s="31" t="s">
        <v>50</v>
      </c>
      <c r="C28" s="8"/>
    </row>
    <row r="29" spans="1:3" ht="15.75" x14ac:dyDescent="0.25">
      <c r="A29" s="31" t="s">
        <v>51</v>
      </c>
      <c r="C29" s="8"/>
    </row>
    <row r="30" spans="1:3" ht="15.75" x14ac:dyDescent="0.25">
      <c r="A30" s="30" t="s">
        <v>52</v>
      </c>
      <c r="C30" s="8"/>
    </row>
    <row r="31" spans="1:3" ht="15.75" x14ac:dyDescent="0.25">
      <c r="A31" s="30" t="s">
        <v>53</v>
      </c>
      <c r="C31" s="8"/>
    </row>
    <row r="32" spans="1:3" ht="15.75" x14ac:dyDescent="0.25">
      <c r="A32" s="31" t="s">
        <v>54</v>
      </c>
      <c r="C32" s="8"/>
    </row>
    <row r="33" spans="1:3" ht="15.75" x14ac:dyDescent="0.25">
      <c r="A33" s="26" t="s">
        <v>55</v>
      </c>
      <c r="C33" s="8"/>
    </row>
    <row r="34" spans="1:3" ht="15.75" x14ac:dyDescent="0.25">
      <c r="A34" s="25" t="s">
        <v>56</v>
      </c>
      <c r="C34" s="5"/>
    </row>
    <row r="35" spans="1:3" ht="15.75" x14ac:dyDescent="0.25">
      <c r="A35" s="26" t="s">
        <v>57</v>
      </c>
      <c r="C35" s="6"/>
    </row>
    <row r="36" spans="1:3" ht="15.75" x14ac:dyDescent="0.25">
      <c r="A36" s="25" t="s">
        <v>58</v>
      </c>
      <c r="C36" s="8"/>
    </row>
    <row r="37" spans="1:3" ht="15.75" x14ac:dyDescent="0.25">
      <c r="A37" s="26" t="s">
        <v>59</v>
      </c>
      <c r="C37" s="8"/>
    </row>
    <row r="38" spans="1:3" ht="15.75" x14ac:dyDescent="0.25">
      <c r="A38" s="25" t="s">
        <v>60</v>
      </c>
      <c r="C38" s="8"/>
    </row>
    <row r="39" spans="1:3" ht="15.75" x14ac:dyDescent="0.25">
      <c r="A39" s="25" t="s">
        <v>61</v>
      </c>
      <c r="C39" s="8"/>
    </row>
    <row r="40" spans="1:3" ht="15.75" x14ac:dyDescent="0.25">
      <c r="A40" s="26" t="s">
        <v>62</v>
      </c>
      <c r="C40" s="8"/>
    </row>
    <row r="41" spans="1:3" ht="15.75" x14ac:dyDescent="0.25">
      <c r="A41" s="26" t="s">
        <v>63</v>
      </c>
      <c r="C41" s="8"/>
    </row>
    <row r="42" spans="1:3" ht="15.75" x14ac:dyDescent="0.25">
      <c r="A42" s="25" t="s">
        <v>64</v>
      </c>
      <c r="C42" s="8"/>
    </row>
    <row r="43" spans="1:3" ht="15.75" x14ac:dyDescent="0.25">
      <c r="A43" s="25" t="s">
        <v>65</v>
      </c>
      <c r="C43" s="8"/>
    </row>
    <row r="44" spans="1:3" ht="15.75" x14ac:dyDescent="0.25">
      <c r="A44" s="25" t="s">
        <v>66</v>
      </c>
      <c r="C44" s="8"/>
    </row>
    <row r="45" spans="1:3" ht="15.75" x14ac:dyDescent="0.25">
      <c r="A45" s="25" t="s">
        <v>67</v>
      </c>
      <c r="C45" s="8"/>
    </row>
    <row r="46" spans="1:3" ht="15.75" x14ac:dyDescent="0.25">
      <c r="A46" s="25" t="s">
        <v>68</v>
      </c>
      <c r="C46" s="8"/>
    </row>
    <row r="47" spans="1:3" ht="15.75" x14ac:dyDescent="0.25">
      <c r="A47" s="26" t="s">
        <v>69</v>
      </c>
      <c r="C47" s="6"/>
    </row>
    <row r="48" spans="1:3" ht="15.75" x14ac:dyDescent="0.25">
      <c r="A48" s="25" t="s">
        <v>70</v>
      </c>
      <c r="C48" s="8"/>
    </row>
    <row r="49" spans="1:3" ht="15.75" x14ac:dyDescent="0.25">
      <c r="A49" s="25" t="s">
        <v>71</v>
      </c>
      <c r="C49" s="8"/>
    </row>
    <row r="50" spans="1:3" ht="15.75" x14ac:dyDescent="0.25">
      <c r="A50" s="26" t="s">
        <v>72</v>
      </c>
      <c r="C50" s="8"/>
    </row>
    <row r="51" spans="1:3" ht="15.75" x14ac:dyDescent="0.25">
      <c r="A51" s="25" t="s">
        <v>73</v>
      </c>
      <c r="C51" s="8"/>
    </row>
    <row r="52" spans="1:3" ht="15.75" x14ac:dyDescent="0.25">
      <c r="A52" s="25" t="s">
        <v>74</v>
      </c>
      <c r="C52" s="8"/>
    </row>
    <row r="53" spans="1:3" ht="15.75" x14ac:dyDescent="0.25">
      <c r="A53" s="26" t="s">
        <v>75</v>
      </c>
      <c r="C53" s="6"/>
    </row>
    <row r="54" spans="1:3" ht="15.75" x14ac:dyDescent="0.25">
      <c r="A54" s="26" t="s">
        <v>76</v>
      </c>
      <c r="C54" s="8"/>
    </row>
    <row r="55" spans="1:3" ht="15.75" x14ac:dyDescent="0.25">
      <c r="A55" s="26" t="s">
        <v>77</v>
      </c>
      <c r="C55" s="8"/>
    </row>
    <row r="56" spans="1:3" ht="15.75" x14ac:dyDescent="0.25">
      <c r="A56" s="26" t="s">
        <v>78</v>
      </c>
      <c r="C56" s="8"/>
    </row>
    <row r="57" spans="1:3" ht="15.75" x14ac:dyDescent="0.25">
      <c r="A57" s="26" t="s">
        <v>79</v>
      </c>
      <c r="C57" s="8"/>
    </row>
    <row r="58" spans="1:3" ht="15.75" x14ac:dyDescent="0.25">
      <c r="A58" s="25" t="s">
        <v>80</v>
      </c>
      <c r="C58" s="8"/>
    </row>
    <row r="59" spans="1:3" ht="15.75" x14ac:dyDescent="0.25">
      <c r="A59" s="25" t="s">
        <v>81</v>
      </c>
      <c r="C59" s="8"/>
    </row>
    <row r="60" spans="1:3" ht="15.75" x14ac:dyDescent="0.25">
      <c r="A60" s="25" t="s">
        <v>82</v>
      </c>
      <c r="C60" s="8"/>
    </row>
    <row r="61" spans="1:3" ht="15.75" x14ac:dyDescent="0.25">
      <c r="A61" s="25" t="s">
        <v>625</v>
      </c>
      <c r="C61" s="8"/>
    </row>
    <row r="62" spans="1:3" ht="15.75" x14ac:dyDescent="0.25">
      <c r="A62" s="25" t="s">
        <v>83</v>
      </c>
      <c r="C62" s="8"/>
    </row>
    <row r="63" spans="1:3" ht="15.75" x14ac:dyDescent="0.25">
      <c r="A63" s="25" t="s">
        <v>84</v>
      </c>
      <c r="C63" s="8"/>
    </row>
    <row r="64" spans="1:3" ht="15.75" x14ac:dyDescent="0.25">
      <c r="A64" s="27" t="s">
        <v>85</v>
      </c>
      <c r="C64" s="8"/>
    </row>
    <row r="65" spans="1:3" ht="15.75" x14ac:dyDescent="0.25">
      <c r="A65" s="27" t="s">
        <v>86</v>
      </c>
      <c r="C65" s="8"/>
    </row>
    <row r="66" spans="1:3" ht="15.75" x14ac:dyDescent="0.25">
      <c r="A66" s="25" t="s">
        <v>87</v>
      </c>
      <c r="C66" s="8"/>
    </row>
    <row r="67" spans="1:3" ht="15.75" x14ac:dyDescent="0.25">
      <c r="A67" s="25" t="s">
        <v>88</v>
      </c>
      <c r="C67" s="8"/>
    </row>
    <row r="68" spans="1:3" ht="15.75" x14ac:dyDescent="0.25">
      <c r="A68" s="25" t="s">
        <v>89</v>
      </c>
      <c r="C68" s="6"/>
    </row>
    <row r="69" spans="1:3" ht="15.75" x14ac:dyDescent="0.25">
      <c r="A69" s="25" t="s">
        <v>90</v>
      </c>
      <c r="C69" s="8"/>
    </row>
    <row r="70" spans="1:3" ht="15.75" x14ac:dyDescent="0.25">
      <c r="A70" s="25" t="s">
        <v>91</v>
      </c>
      <c r="C70" s="8"/>
    </row>
    <row r="71" spans="1:3" ht="18.75" x14ac:dyDescent="0.25">
      <c r="A71" s="28" t="s">
        <v>92</v>
      </c>
      <c r="C71" s="8"/>
    </row>
    <row r="72" spans="1:3" ht="18.75" x14ac:dyDescent="0.25">
      <c r="A72" s="29" t="s">
        <v>93</v>
      </c>
      <c r="C72" s="8"/>
    </row>
    <row r="73" spans="1:3" ht="18.75" x14ac:dyDescent="0.25">
      <c r="A73" s="29" t="s">
        <v>94</v>
      </c>
      <c r="C73" s="8"/>
    </row>
    <row r="74" spans="1:3" ht="15.75" x14ac:dyDescent="0.25">
      <c r="A74" s="25" t="s">
        <v>95</v>
      </c>
      <c r="C74" s="8"/>
    </row>
    <row r="75" spans="1:3" ht="15.75" x14ac:dyDescent="0.25">
      <c r="A75" s="25" t="s">
        <v>96</v>
      </c>
      <c r="C75" s="8"/>
    </row>
    <row r="76" spans="1:3" ht="15.75" x14ac:dyDescent="0.25">
      <c r="A76" s="25" t="s">
        <v>97</v>
      </c>
      <c r="C76" s="8"/>
    </row>
    <row r="77" spans="1:3" ht="15.75" x14ac:dyDescent="0.25">
      <c r="A77" s="26" t="s">
        <v>98</v>
      </c>
      <c r="C77" s="8"/>
    </row>
    <row r="78" spans="1:3" ht="15.75" x14ac:dyDescent="0.25">
      <c r="A78" s="25" t="s">
        <v>99</v>
      </c>
      <c r="C78" s="8"/>
    </row>
    <row r="79" spans="1:3" ht="15.75" x14ac:dyDescent="0.25">
      <c r="A79" s="26" t="s">
        <v>100</v>
      </c>
      <c r="C79" s="5"/>
    </row>
    <row r="80" spans="1:3" ht="15.75" x14ac:dyDescent="0.25">
      <c r="A80" s="26" t="s">
        <v>101</v>
      </c>
      <c r="C80" s="6"/>
    </row>
    <row r="81" spans="1:3" ht="15.75" x14ac:dyDescent="0.25">
      <c r="A81" s="26" t="s">
        <v>102</v>
      </c>
      <c r="C81" s="6"/>
    </row>
    <row r="82" spans="1:3" ht="15.75" x14ac:dyDescent="0.25">
      <c r="A82" s="25" t="s">
        <v>103</v>
      </c>
      <c r="C82" s="6"/>
    </row>
    <row r="83" spans="1:3" ht="15.75" x14ac:dyDescent="0.25">
      <c r="A83" s="25" t="s">
        <v>104</v>
      </c>
      <c r="C83" s="6"/>
    </row>
    <row r="84" spans="1:3" ht="15.75" x14ac:dyDescent="0.25">
      <c r="A84" s="25" t="s">
        <v>105</v>
      </c>
      <c r="C84" s="6"/>
    </row>
    <row r="85" spans="1:3" ht="15.75" x14ac:dyDescent="0.25">
      <c r="A85" s="25" t="s">
        <v>106</v>
      </c>
      <c r="C85" s="6"/>
    </row>
    <row r="86" spans="1:3" ht="26.25" x14ac:dyDescent="0.25">
      <c r="A86" s="25" t="s">
        <v>107</v>
      </c>
      <c r="C86" s="3"/>
    </row>
    <row r="87" spans="1:3" ht="15.75" x14ac:dyDescent="0.25">
      <c r="A87" s="25" t="s">
        <v>108</v>
      </c>
      <c r="C87" s="4"/>
    </row>
    <row r="88" spans="1:3" ht="15.75" x14ac:dyDescent="0.25">
      <c r="A88" s="25" t="s">
        <v>109</v>
      </c>
      <c r="C88" s="5"/>
    </row>
    <row r="89" spans="1:3" ht="15.75" x14ac:dyDescent="0.25">
      <c r="A89" s="25" t="s">
        <v>110</v>
      </c>
      <c r="C89" s="6"/>
    </row>
    <row r="90" spans="1:3" ht="15.75" x14ac:dyDescent="0.25">
      <c r="A90" s="26" t="s">
        <v>111</v>
      </c>
      <c r="C90" s="6"/>
    </row>
    <row r="91" spans="1:3" ht="15.75" x14ac:dyDescent="0.25">
      <c r="A91" s="26" t="s">
        <v>112</v>
      </c>
      <c r="C91" s="5"/>
    </row>
    <row r="92" spans="1:3" ht="15.75" x14ac:dyDescent="0.25">
      <c r="A92" s="25" t="s">
        <v>113</v>
      </c>
      <c r="C92" s="6"/>
    </row>
    <row r="93" spans="1:3" ht="15.75" x14ac:dyDescent="0.25">
      <c r="A93" s="25" t="s">
        <v>114</v>
      </c>
      <c r="C93" s="8"/>
    </row>
    <row r="94" spans="1:3" ht="15.75" x14ac:dyDescent="0.25">
      <c r="A94" s="25" t="s">
        <v>115</v>
      </c>
      <c r="C94" s="8"/>
    </row>
    <row r="95" spans="1:3" ht="15.75" x14ac:dyDescent="0.25">
      <c r="A95" s="25" t="s">
        <v>116</v>
      </c>
      <c r="C95" s="8"/>
    </row>
    <row r="96" spans="1:3" ht="15.75" x14ac:dyDescent="0.25">
      <c r="A96" s="25" t="s">
        <v>117</v>
      </c>
      <c r="C96" s="8"/>
    </row>
    <row r="97" spans="1:3" ht="15.75" x14ac:dyDescent="0.25">
      <c r="A97" s="25" t="s">
        <v>118</v>
      </c>
      <c r="C97" s="8"/>
    </row>
    <row r="98" spans="1:3" ht="15.75" x14ac:dyDescent="0.25">
      <c r="A98" s="26" t="s">
        <v>119</v>
      </c>
      <c r="C98" s="8"/>
    </row>
    <row r="99" spans="1:3" ht="15.75" x14ac:dyDescent="0.25">
      <c r="A99" s="26" t="s">
        <v>120</v>
      </c>
      <c r="C99" s="6"/>
    </row>
    <row r="100" spans="1:3" ht="15.75" x14ac:dyDescent="0.25">
      <c r="A100" s="25" t="s">
        <v>121</v>
      </c>
      <c r="C100" s="8"/>
    </row>
    <row r="101" spans="1:3" ht="15.75" x14ac:dyDescent="0.25">
      <c r="A101" s="25" t="s">
        <v>122</v>
      </c>
      <c r="C101" s="8"/>
    </row>
    <row r="102" spans="1:3" ht="15.75" x14ac:dyDescent="0.25">
      <c r="A102" s="25" t="s">
        <v>123</v>
      </c>
      <c r="C102" s="8"/>
    </row>
    <row r="103" spans="1:3" ht="15.75" x14ac:dyDescent="0.25">
      <c r="A103" s="25" t="s">
        <v>124</v>
      </c>
      <c r="C103" s="8"/>
    </row>
    <row r="104" spans="1:3" ht="15.75" x14ac:dyDescent="0.25">
      <c r="A104" s="25" t="s">
        <v>125</v>
      </c>
      <c r="C104" s="6"/>
    </row>
    <row r="105" spans="1:3" x14ac:dyDescent="0.25">
      <c r="A105" s="26" t="s">
        <v>126</v>
      </c>
    </row>
    <row r="106" spans="1:3" x14ac:dyDescent="0.25">
      <c r="A106" s="26" t="s">
        <v>127</v>
      </c>
    </row>
    <row r="107" spans="1:3" x14ac:dyDescent="0.25">
      <c r="A107" s="26" t="s">
        <v>128</v>
      </c>
    </row>
    <row r="108" spans="1:3" x14ac:dyDescent="0.25">
      <c r="A108" s="26" t="s">
        <v>129</v>
      </c>
    </row>
    <row r="109" spans="1:3" x14ac:dyDescent="0.25">
      <c r="A109" s="26" t="s">
        <v>130</v>
      </c>
    </row>
    <row r="110" spans="1:3" x14ac:dyDescent="0.25">
      <c r="A110" s="26" t="s">
        <v>131</v>
      </c>
    </row>
    <row r="111" spans="1:3" x14ac:dyDescent="0.25">
      <c r="A111" s="25" t="s">
        <v>132</v>
      </c>
    </row>
    <row r="112" spans="1:3" x14ac:dyDescent="0.25">
      <c r="A112" s="25" t="s">
        <v>133</v>
      </c>
    </row>
    <row r="113" spans="1:1" x14ac:dyDescent="0.25">
      <c r="A113" s="25" t="s">
        <v>134</v>
      </c>
    </row>
    <row r="114" spans="1:1" x14ac:dyDescent="0.25">
      <c r="A114" s="25" t="s">
        <v>135</v>
      </c>
    </row>
    <row r="115" spans="1:1" ht="15.75" x14ac:dyDescent="0.25">
      <c r="A115" s="27" t="s">
        <v>136</v>
      </c>
    </row>
    <row r="116" spans="1:1" ht="15.75" x14ac:dyDescent="0.25">
      <c r="A116" s="27" t="s">
        <v>137</v>
      </c>
    </row>
    <row r="117" spans="1:1" x14ac:dyDescent="0.25">
      <c r="A117" s="25" t="s">
        <v>138</v>
      </c>
    </row>
    <row r="118" spans="1:1" x14ac:dyDescent="0.25">
      <c r="A118" s="25" t="s">
        <v>139</v>
      </c>
    </row>
    <row r="119" spans="1:1" x14ac:dyDescent="0.25">
      <c r="A119" s="26" t="s">
        <v>140</v>
      </c>
    </row>
    <row r="120" spans="1:1" x14ac:dyDescent="0.25">
      <c r="A120" s="26" t="s">
        <v>141</v>
      </c>
    </row>
    <row r="121" spans="1:1" x14ac:dyDescent="0.25">
      <c r="A121" s="25" t="s">
        <v>142</v>
      </c>
    </row>
    <row r="122" spans="1:1" x14ac:dyDescent="0.25">
      <c r="A122" s="26" t="s">
        <v>143</v>
      </c>
    </row>
    <row r="123" spans="1:1" x14ac:dyDescent="0.25">
      <c r="A123" s="26" t="s">
        <v>144</v>
      </c>
    </row>
    <row r="124" spans="1:1" x14ac:dyDescent="0.25">
      <c r="A124" s="25" t="s">
        <v>145</v>
      </c>
    </row>
    <row r="125" spans="1:1" x14ac:dyDescent="0.25">
      <c r="A125" s="25" t="s">
        <v>146</v>
      </c>
    </row>
    <row r="126" spans="1:1" x14ac:dyDescent="0.25">
      <c r="A126" s="25" t="s">
        <v>147</v>
      </c>
    </row>
    <row r="127" spans="1:1" x14ac:dyDescent="0.25">
      <c r="A127" s="25" t="s">
        <v>148</v>
      </c>
    </row>
    <row r="128" spans="1:1" x14ac:dyDescent="0.25">
      <c r="A128" s="25" t="s">
        <v>149</v>
      </c>
    </row>
    <row r="129" spans="1:1" x14ac:dyDescent="0.25">
      <c r="A129" s="26" t="s">
        <v>150</v>
      </c>
    </row>
    <row r="130" spans="1:1" x14ac:dyDescent="0.25">
      <c r="A130" s="26" t="s">
        <v>151</v>
      </c>
    </row>
    <row r="131" spans="1:1" x14ac:dyDescent="0.25">
      <c r="A131" s="26" t="s">
        <v>152</v>
      </c>
    </row>
    <row r="132" spans="1:1" x14ac:dyDescent="0.25">
      <c r="A132" s="26" t="s">
        <v>153</v>
      </c>
    </row>
    <row r="133" spans="1:1" x14ac:dyDescent="0.25">
      <c r="A133" s="25" t="s">
        <v>154</v>
      </c>
    </row>
    <row r="134" spans="1:1" x14ac:dyDescent="0.25">
      <c r="A134" s="26" t="s">
        <v>155</v>
      </c>
    </row>
    <row r="135" spans="1:1" x14ac:dyDescent="0.25">
      <c r="A135" s="26" t="s">
        <v>156</v>
      </c>
    </row>
    <row r="136" spans="1:1" x14ac:dyDescent="0.25">
      <c r="A136" s="25" t="s">
        <v>157</v>
      </c>
    </row>
    <row r="137" spans="1:1" x14ac:dyDescent="0.25">
      <c r="A137" s="25" t="s">
        <v>158</v>
      </c>
    </row>
    <row r="138" spans="1:1" x14ac:dyDescent="0.25">
      <c r="A138" s="25" t="s">
        <v>159</v>
      </c>
    </row>
    <row r="139" spans="1:1" x14ac:dyDescent="0.25">
      <c r="A139" s="26" t="s">
        <v>160</v>
      </c>
    </row>
    <row r="140" spans="1:1" x14ac:dyDescent="0.25">
      <c r="A140" s="26" t="s">
        <v>161</v>
      </c>
    </row>
    <row r="141" spans="1:1" x14ac:dyDescent="0.25">
      <c r="A141" s="26" t="s">
        <v>162</v>
      </c>
    </row>
    <row r="142" spans="1:1" x14ac:dyDescent="0.25">
      <c r="A142" s="25" t="s">
        <v>163</v>
      </c>
    </row>
    <row r="143" spans="1:1" x14ac:dyDescent="0.25">
      <c r="A143" s="25" t="s">
        <v>164</v>
      </c>
    </row>
    <row r="144" spans="1:1" x14ac:dyDescent="0.25">
      <c r="A144" s="25" t="s">
        <v>165</v>
      </c>
    </row>
    <row r="145" spans="1:1" x14ac:dyDescent="0.25">
      <c r="A145" s="26" t="s">
        <v>166</v>
      </c>
    </row>
    <row r="146" spans="1:1" x14ac:dyDescent="0.25">
      <c r="A146" s="26" t="s">
        <v>167</v>
      </c>
    </row>
    <row r="147" spans="1:1" x14ac:dyDescent="0.25">
      <c r="A147" s="25" t="s">
        <v>168</v>
      </c>
    </row>
    <row r="148" spans="1:1" x14ac:dyDescent="0.25">
      <c r="A148" s="26" t="s">
        <v>169</v>
      </c>
    </row>
    <row r="149" spans="1:1" x14ac:dyDescent="0.25">
      <c r="A149" s="25" t="s">
        <v>170</v>
      </c>
    </row>
    <row r="150" spans="1:1" x14ac:dyDescent="0.25">
      <c r="A150" s="25" t="s">
        <v>171</v>
      </c>
    </row>
    <row r="151" spans="1:1" x14ac:dyDescent="0.25">
      <c r="A151" s="26" t="s">
        <v>172</v>
      </c>
    </row>
    <row r="152" spans="1:1" x14ac:dyDescent="0.25">
      <c r="A152" s="25" t="s">
        <v>173</v>
      </c>
    </row>
    <row r="153" spans="1:1" x14ac:dyDescent="0.25">
      <c r="A153" s="26" t="s">
        <v>174</v>
      </c>
    </row>
    <row r="154" spans="1:1" x14ac:dyDescent="0.25">
      <c r="A154" s="26" t="s">
        <v>175</v>
      </c>
    </row>
    <row r="155" spans="1:1" x14ac:dyDescent="0.25">
      <c r="A155" s="26" t="s">
        <v>176</v>
      </c>
    </row>
    <row r="156" spans="1:1" x14ac:dyDescent="0.25">
      <c r="A156" s="25" t="s">
        <v>177</v>
      </c>
    </row>
    <row r="157" spans="1:1" ht="15.75" x14ac:dyDescent="0.25">
      <c r="A157" s="27" t="s">
        <v>178</v>
      </c>
    </row>
    <row r="158" spans="1:1" ht="15.75" x14ac:dyDescent="0.25">
      <c r="A158" s="27" t="s">
        <v>179</v>
      </c>
    </row>
    <row r="159" spans="1:1" x14ac:dyDescent="0.25">
      <c r="A159" s="25" t="s">
        <v>180</v>
      </c>
    </row>
    <row r="160" spans="1:1" x14ac:dyDescent="0.25">
      <c r="A160" s="25" t="s">
        <v>181</v>
      </c>
    </row>
    <row r="161" spans="1:1" x14ac:dyDescent="0.25">
      <c r="A161" s="25" t="s">
        <v>182</v>
      </c>
    </row>
    <row r="162" spans="1:1" x14ac:dyDescent="0.25">
      <c r="A162" s="25" t="s">
        <v>183</v>
      </c>
    </row>
    <row r="163" spans="1:1" x14ac:dyDescent="0.25">
      <c r="A163" s="25" t="s">
        <v>184</v>
      </c>
    </row>
    <row r="164" spans="1:1" x14ac:dyDescent="0.25">
      <c r="A164" s="25" t="s">
        <v>185</v>
      </c>
    </row>
    <row r="165" spans="1:1" x14ac:dyDescent="0.25">
      <c r="A165" s="25" t="s">
        <v>186</v>
      </c>
    </row>
    <row r="166" spans="1:1" x14ac:dyDescent="0.25">
      <c r="A166" s="26" t="s">
        <v>187</v>
      </c>
    </row>
    <row r="167" spans="1:1" x14ac:dyDescent="0.25">
      <c r="A167" s="26" t="s">
        <v>188</v>
      </c>
    </row>
    <row r="168" spans="1:1" x14ac:dyDescent="0.25">
      <c r="A168" s="25" t="s">
        <v>189</v>
      </c>
    </row>
    <row r="169" spans="1:1" x14ac:dyDescent="0.25">
      <c r="A169" s="26" t="s">
        <v>190</v>
      </c>
    </row>
    <row r="170" spans="1:1" x14ac:dyDescent="0.25">
      <c r="A170" s="25" t="s">
        <v>191</v>
      </c>
    </row>
    <row r="171" spans="1:1" x14ac:dyDescent="0.25">
      <c r="A171" s="25" t="s">
        <v>192</v>
      </c>
    </row>
    <row r="172" spans="1:1" x14ac:dyDescent="0.25">
      <c r="A172" s="26" t="s">
        <v>193</v>
      </c>
    </row>
    <row r="173" spans="1:1" x14ac:dyDescent="0.25">
      <c r="A173" s="25" t="s">
        <v>194</v>
      </c>
    </row>
    <row r="174" spans="1:1" x14ac:dyDescent="0.25">
      <c r="A174" s="26" t="s">
        <v>195</v>
      </c>
    </row>
    <row r="175" spans="1:1" x14ac:dyDescent="0.25">
      <c r="A175" s="25" t="s">
        <v>196</v>
      </c>
    </row>
    <row r="176" spans="1:1" x14ac:dyDescent="0.25">
      <c r="A176" s="25" t="s">
        <v>197</v>
      </c>
    </row>
    <row r="177" spans="1:1" x14ac:dyDescent="0.25">
      <c r="A177" s="26" t="s">
        <v>198</v>
      </c>
    </row>
    <row r="178" spans="1:1" x14ac:dyDescent="0.25">
      <c r="A178" s="25" t="s">
        <v>199</v>
      </c>
    </row>
    <row r="179" spans="1:1" x14ac:dyDescent="0.25">
      <c r="A179" s="25" t="s">
        <v>200</v>
      </c>
    </row>
    <row r="180" spans="1:1" x14ac:dyDescent="0.25">
      <c r="A180" s="25" t="s">
        <v>201</v>
      </c>
    </row>
    <row r="181" spans="1:1" x14ac:dyDescent="0.25">
      <c r="A181" s="25" t="s">
        <v>202</v>
      </c>
    </row>
    <row r="182" spans="1:1" x14ac:dyDescent="0.25">
      <c r="A182" s="26" t="s">
        <v>203</v>
      </c>
    </row>
    <row r="183" spans="1:1" x14ac:dyDescent="0.25">
      <c r="A183" s="26" t="s">
        <v>204</v>
      </c>
    </row>
    <row r="184" spans="1:1" x14ac:dyDescent="0.25">
      <c r="A184" s="25" t="s">
        <v>205</v>
      </c>
    </row>
    <row r="185" spans="1:1" x14ac:dyDescent="0.25">
      <c r="A185" s="25" t="s">
        <v>206</v>
      </c>
    </row>
    <row r="186" spans="1:1" x14ac:dyDescent="0.25">
      <c r="A186" s="25" t="s">
        <v>207</v>
      </c>
    </row>
    <row r="187" spans="1:1" x14ac:dyDescent="0.25">
      <c r="A187" s="25" t="s">
        <v>208</v>
      </c>
    </row>
    <row r="188" spans="1:1" x14ac:dyDescent="0.25">
      <c r="A188" s="26" t="s">
        <v>209</v>
      </c>
    </row>
    <row r="189" spans="1:1" x14ac:dyDescent="0.25">
      <c r="A189" s="26" t="s">
        <v>210</v>
      </c>
    </row>
    <row r="190" spans="1:1" x14ac:dyDescent="0.25">
      <c r="A190" s="25" t="s">
        <v>211</v>
      </c>
    </row>
    <row r="191" spans="1:1" x14ac:dyDescent="0.25">
      <c r="A191" s="25" t="s">
        <v>212</v>
      </c>
    </row>
    <row r="192" spans="1:1" x14ac:dyDescent="0.25">
      <c r="A192" s="25" t="s">
        <v>213</v>
      </c>
    </row>
    <row r="193" spans="1:1" x14ac:dyDescent="0.25">
      <c r="A193" s="25" t="s">
        <v>214</v>
      </c>
    </row>
    <row r="194" spans="1:1" x14ac:dyDescent="0.25">
      <c r="A194" s="31" t="s">
        <v>215</v>
      </c>
    </row>
    <row r="195" spans="1:1" x14ac:dyDescent="0.25">
      <c r="A195" s="31" t="s">
        <v>216</v>
      </c>
    </row>
    <row r="196" spans="1:1" x14ac:dyDescent="0.25">
      <c r="A196" s="35" t="s">
        <v>659</v>
      </c>
    </row>
    <row r="197" spans="1:1" x14ac:dyDescent="0.25">
      <c r="A197" s="25" t="s">
        <v>217</v>
      </c>
    </row>
    <row r="198" spans="1:1" x14ac:dyDescent="0.25">
      <c r="A198" s="25" t="s">
        <v>218</v>
      </c>
    </row>
    <row r="199" spans="1:1" x14ac:dyDescent="0.25">
      <c r="A199" s="25" t="s">
        <v>219</v>
      </c>
    </row>
    <row r="200" spans="1:1" x14ac:dyDescent="0.25">
      <c r="A200" s="25" t="s">
        <v>220</v>
      </c>
    </row>
    <row r="201" spans="1:1" x14ac:dyDescent="0.25">
      <c r="A201" s="25" t="s">
        <v>221</v>
      </c>
    </row>
    <row r="202" spans="1:1" x14ac:dyDescent="0.25">
      <c r="A202" s="25" t="s">
        <v>222</v>
      </c>
    </row>
    <row r="203" spans="1:1" x14ac:dyDescent="0.25">
      <c r="A203" s="25" t="s">
        <v>223</v>
      </c>
    </row>
    <row r="204" spans="1:1" x14ac:dyDescent="0.25">
      <c r="A204" s="25" t="s">
        <v>224</v>
      </c>
    </row>
    <row r="205" spans="1:1" ht="15.75" x14ac:dyDescent="0.25">
      <c r="A205" s="27" t="s">
        <v>225</v>
      </c>
    </row>
    <row r="206" spans="1:1" ht="15.75" x14ac:dyDescent="0.25">
      <c r="A206" s="27" t="s">
        <v>226</v>
      </c>
    </row>
    <row r="207" spans="1:1" x14ac:dyDescent="0.25">
      <c r="A207" s="25" t="s">
        <v>227</v>
      </c>
    </row>
    <row r="208" spans="1:1" x14ac:dyDescent="0.25">
      <c r="A208" s="25" t="s">
        <v>228</v>
      </c>
    </row>
    <row r="209" spans="1:1" x14ac:dyDescent="0.25">
      <c r="A209" s="26" t="s">
        <v>229</v>
      </c>
    </row>
    <row r="210" spans="1:1" x14ac:dyDescent="0.25">
      <c r="A210" s="26" t="s">
        <v>230</v>
      </c>
    </row>
    <row r="211" spans="1:1" x14ac:dyDescent="0.25">
      <c r="A211" s="25" t="s">
        <v>231</v>
      </c>
    </row>
    <row r="212" spans="1:1" x14ac:dyDescent="0.25">
      <c r="A212" s="25" t="s">
        <v>232</v>
      </c>
    </row>
    <row r="213" spans="1:1" x14ac:dyDescent="0.25">
      <c r="A213" s="26" t="s">
        <v>233</v>
      </c>
    </row>
    <row r="214" spans="1:1" x14ac:dyDescent="0.25">
      <c r="A214" s="26" t="s">
        <v>234</v>
      </c>
    </row>
    <row r="215" spans="1:1" x14ac:dyDescent="0.25">
      <c r="A215" s="26" t="s">
        <v>235</v>
      </c>
    </row>
    <row r="216" spans="1:1" x14ac:dyDescent="0.25">
      <c r="A216" s="26" t="s">
        <v>236</v>
      </c>
    </row>
    <row r="217" spans="1:1" x14ac:dyDescent="0.25">
      <c r="A217" s="25" t="s">
        <v>237</v>
      </c>
    </row>
    <row r="218" spans="1:1" x14ac:dyDescent="0.25">
      <c r="A218" s="26" t="s">
        <v>238</v>
      </c>
    </row>
    <row r="219" spans="1:1" x14ac:dyDescent="0.25">
      <c r="A219" s="25" t="s">
        <v>239</v>
      </c>
    </row>
    <row r="220" spans="1:1" x14ac:dyDescent="0.25">
      <c r="A220" s="25" t="s">
        <v>240</v>
      </c>
    </row>
    <row r="221" spans="1:1" x14ac:dyDescent="0.25">
      <c r="A221" s="25" t="s">
        <v>241</v>
      </c>
    </row>
    <row r="222" spans="1:1" x14ac:dyDescent="0.25">
      <c r="A222" s="25" t="s">
        <v>242</v>
      </c>
    </row>
    <row r="223" spans="1:1" x14ac:dyDescent="0.25">
      <c r="A223" s="26" t="s">
        <v>243</v>
      </c>
    </row>
    <row r="224" spans="1:1" x14ac:dyDescent="0.25">
      <c r="A224" s="26" t="s">
        <v>244</v>
      </c>
    </row>
    <row r="225" spans="1:1" x14ac:dyDescent="0.25">
      <c r="A225" s="26" t="s">
        <v>245</v>
      </c>
    </row>
    <row r="226" spans="1:1" x14ac:dyDescent="0.25">
      <c r="A226" s="26" t="s">
        <v>246</v>
      </c>
    </row>
    <row r="227" spans="1:1" x14ac:dyDescent="0.25">
      <c r="A227" s="25" t="s">
        <v>247</v>
      </c>
    </row>
    <row r="228" spans="1:1" x14ac:dyDescent="0.25">
      <c r="A228" s="25" t="s">
        <v>248</v>
      </c>
    </row>
    <row r="229" spans="1:1" x14ac:dyDescent="0.25">
      <c r="A229" s="26" t="s">
        <v>249</v>
      </c>
    </row>
    <row r="230" spans="1:1" x14ac:dyDescent="0.25">
      <c r="A230" s="25" t="s">
        <v>250</v>
      </c>
    </row>
    <row r="231" spans="1:1" x14ac:dyDescent="0.25">
      <c r="A231" s="25" t="s">
        <v>251</v>
      </c>
    </row>
    <row r="232" spans="1:1" x14ac:dyDescent="0.25">
      <c r="A232" s="25" t="s">
        <v>252</v>
      </c>
    </row>
    <row r="233" spans="1:1" x14ac:dyDescent="0.25">
      <c r="A233" s="25" t="s">
        <v>253</v>
      </c>
    </row>
    <row r="234" spans="1:1" x14ac:dyDescent="0.25">
      <c r="A234" s="25" t="s">
        <v>254</v>
      </c>
    </row>
    <row r="235" spans="1:1" x14ac:dyDescent="0.25">
      <c r="A235" s="25" t="s">
        <v>255</v>
      </c>
    </row>
    <row r="236" spans="1:1" x14ac:dyDescent="0.25">
      <c r="A236" s="25" t="s">
        <v>256</v>
      </c>
    </row>
    <row r="237" spans="1:1" x14ac:dyDescent="0.25">
      <c r="A237" s="25" t="s">
        <v>257</v>
      </c>
    </row>
    <row r="238" spans="1:1" x14ac:dyDescent="0.25">
      <c r="A238" s="25" t="s">
        <v>258</v>
      </c>
    </row>
    <row r="239" spans="1:1" x14ac:dyDescent="0.25">
      <c r="A239" s="26" t="s">
        <v>259</v>
      </c>
    </row>
    <row r="240" spans="1:1" x14ac:dyDescent="0.25">
      <c r="A240" s="26" t="s">
        <v>260</v>
      </c>
    </row>
    <row r="241" spans="1:1" x14ac:dyDescent="0.25">
      <c r="A241" s="26" t="s">
        <v>261</v>
      </c>
    </row>
    <row r="242" spans="1:1" x14ac:dyDescent="0.25">
      <c r="A242" s="26" t="s">
        <v>262</v>
      </c>
    </row>
    <row r="243" spans="1:1" x14ac:dyDescent="0.25">
      <c r="A243" s="26" t="s">
        <v>263</v>
      </c>
    </row>
    <row r="244" spans="1:1" x14ac:dyDescent="0.25">
      <c r="A244" s="25" t="s">
        <v>264</v>
      </c>
    </row>
    <row r="245" spans="1:1" x14ac:dyDescent="0.25">
      <c r="A245" s="26" t="s">
        <v>265</v>
      </c>
    </row>
    <row r="246" spans="1:1" x14ac:dyDescent="0.25">
      <c r="A246" s="26" t="s">
        <v>266</v>
      </c>
    </row>
    <row r="247" spans="1:1" x14ac:dyDescent="0.25">
      <c r="A247" s="25" t="s">
        <v>267</v>
      </c>
    </row>
    <row r="248" spans="1:1" x14ac:dyDescent="0.25">
      <c r="A248" s="25" t="s">
        <v>268</v>
      </c>
    </row>
    <row r="249" spans="1:1" x14ac:dyDescent="0.25">
      <c r="A249" s="25" t="s">
        <v>269</v>
      </c>
    </row>
    <row r="250" spans="1:1" x14ac:dyDescent="0.25">
      <c r="A250" s="25" t="s">
        <v>270</v>
      </c>
    </row>
    <row r="251" spans="1:1" x14ac:dyDescent="0.25">
      <c r="A251" s="25" t="s">
        <v>271</v>
      </c>
    </row>
    <row r="252" spans="1:1" x14ac:dyDescent="0.25">
      <c r="A252" s="25" t="s">
        <v>272</v>
      </c>
    </row>
    <row r="253" spans="1:1" x14ac:dyDescent="0.25">
      <c r="A253" s="25" t="s">
        <v>273</v>
      </c>
    </row>
    <row r="254" spans="1:1" ht="15.75" x14ac:dyDescent="0.25">
      <c r="A254" s="27" t="s">
        <v>274</v>
      </c>
    </row>
    <row r="255" spans="1:1" ht="15.75" x14ac:dyDescent="0.25">
      <c r="A255" s="27" t="s">
        <v>275</v>
      </c>
    </row>
    <row r="256" spans="1:1" x14ac:dyDescent="0.25">
      <c r="A256" s="25" t="s">
        <v>276</v>
      </c>
    </row>
    <row r="257" spans="1:1" x14ac:dyDescent="0.25">
      <c r="A257" s="25" t="s">
        <v>277</v>
      </c>
    </row>
    <row r="258" spans="1:1" x14ac:dyDescent="0.25">
      <c r="A258" s="25" t="s">
        <v>278</v>
      </c>
    </row>
    <row r="259" spans="1:1" x14ac:dyDescent="0.25">
      <c r="A259" s="26" t="s">
        <v>279</v>
      </c>
    </row>
    <row r="260" spans="1:1" x14ac:dyDescent="0.25">
      <c r="A260" s="26" t="s">
        <v>280</v>
      </c>
    </row>
    <row r="261" spans="1:1" x14ac:dyDescent="0.25">
      <c r="A261" s="25" t="s">
        <v>281</v>
      </c>
    </row>
    <row r="262" spans="1:1" x14ac:dyDescent="0.25">
      <c r="A262" s="26" t="s">
        <v>282</v>
      </c>
    </row>
    <row r="263" spans="1:1" x14ac:dyDescent="0.25">
      <c r="A263" s="25" t="s">
        <v>283</v>
      </c>
    </row>
    <row r="264" spans="1:1" x14ac:dyDescent="0.25">
      <c r="A264" s="25" t="s">
        <v>284</v>
      </c>
    </row>
    <row r="265" spans="1:1" x14ac:dyDescent="0.25">
      <c r="A265" s="25" t="s">
        <v>285</v>
      </c>
    </row>
    <row r="266" spans="1:1" x14ac:dyDescent="0.25">
      <c r="A266" s="25" t="s">
        <v>286</v>
      </c>
    </row>
    <row r="267" spans="1:1" x14ac:dyDescent="0.25">
      <c r="A267" s="26" t="s">
        <v>287</v>
      </c>
    </row>
    <row r="268" spans="1:1" x14ac:dyDescent="0.25">
      <c r="A268" s="25" t="s">
        <v>288</v>
      </c>
    </row>
    <row r="269" spans="1:1" x14ac:dyDescent="0.25">
      <c r="A269" s="25" t="s">
        <v>289</v>
      </c>
    </row>
    <row r="270" spans="1:1" x14ac:dyDescent="0.25">
      <c r="A270" s="25" t="s">
        <v>290</v>
      </c>
    </row>
    <row r="271" spans="1:1" x14ac:dyDescent="0.25">
      <c r="A271" s="26" t="s">
        <v>291</v>
      </c>
    </row>
    <row r="272" spans="1:1" x14ac:dyDescent="0.25">
      <c r="A272" s="25" t="s">
        <v>292</v>
      </c>
    </row>
    <row r="273" spans="1:1" x14ac:dyDescent="0.25">
      <c r="A273" s="25" t="s">
        <v>293</v>
      </c>
    </row>
    <row r="274" spans="1:1" x14ac:dyDescent="0.25">
      <c r="A274" s="25" t="s">
        <v>294</v>
      </c>
    </row>
    <row r="275" spans="1:1" x14ac:dyDescent="0.25">
      <c r="A275" s="25" t="s">
        <v>295</v>
      </c>
    </row>
    <row r="276" spans="1:1" x14ac:dyDescent="0.25">
      <c r="A276" s="26" t="s">
        <v>296</v>
      </c>
    </row>
    <row r="277" spans="1:1" x14ac:dyDescent="0.25">
      <c r="A277" s="25" t="s">
        <v>297</v>
      </c>
    </row>
    <row r="278" spans="1:1" x14ac:dyDescent="0.25">
      <c r="A278" s="26" t="s">
        <v>298</v>
      </c>
    </row>
    <row r="279" spans="1:1" x14ac:dyDescent="0.25">
      <c r="A279" s="26" t="s">
        <v>299</v>
      </c>
    </row>
    <row r="280" spans="1:1" x14ac:dyDescent="0.25">
      <c r="A280" s="26" t="s">
        <v>300</v>
      </c>
    </row>
    <row r="281" spans="1:1" x14ac:dyDescent="0.25">
      <c r="A281" s="25" t="s">
        <v>301</v>
      </c>
    </row>
    <row r="282" spans="1:1" x14ac:dyDescent="0.25">
      <c r="A282" s="26" t="s">
        <v>302</v>
      </c>
    </row>
    <row r="283" spans="1:1" x14ac:dyDescent="0.25">
      <c r="A283" s="26" t="s">
        <v>303</v>
      </c>
    </row>
    <row r="284" spans="1:1" x14ac:dyDescent="0.25">
      <c r="A284" s="26" t="s">
        <v>304</v>
      </c>
    </row>
    <row r="285" spans="1:1" x14ac:dyDescent="0.25">
      <c r="A285" s="26" t="s">
        <v>305</v>
      </c>
    </row>
    <row r="286" spans="1:1" x14ac:dyDescent="0.25">
      <c r="A286" s="25" t="s">
        <v>306</v>
      </c>
    </row>
    <row r="287" spans="1:1" x14ac:dyDescent="0.25">
      <c r="A287" s="25" t="s">
        <v>307</v>
      </c>
    </row>
    <row r="288" spans="1:1" x14ac:dyDescent="0.25">
      <c r="A288" s="26" t="s">
        <v>308</v>
      </c>
    </row>
    <row r="289" spans="1:1" x14ac:dyDescent="0.25">
      <c r="A289" s="25" t="s">
        <v>309</v>
      </c>
    </row>
    <row r="290" spans="1:1" x14ac:dyDescent="0.25">
      <c r="A290" s="25" t="s">
        <v>310</v>
      </c>
    </row>
    <row r="291" spans="1:1" x14ac:dyDescent="0.25">
      <c r="A291" s="25" t="s">
        <v>311</v>
      </c>
    </row>
    <row r="292" spans="1:1" x14ac:dyDescent="0.25">
      <c r="A292" s="25" t="s">
        <v>312</v>
      </c>
    </row>
    <row r="293" spans="1:1" x14ac:dyDescent="0.25">
      <c r="A293" s="26" t="s">
        <v>313</v>
      </c>
    </row>
    <row r="294" spans="1:1" x14ac:dyDescent="0.25">
      <c r="A294" s="26" t="s">
        <v>314</v>
      </c>
    </row>
    <row r="295" spans="1:1" x14ac:dyDescent="0.25">
      <c r="A295" s="25" t="s">
        <v>315</v>
      </c>
    </row>
    <row r="296" spans="1:1" x14ac:dyDescent="0.25">
      <c r="A296" s="25" t="s">
        <v>316</v>
      </c>
    </row>
    <row r="297" spans="1:1" x14ac:dyDescent="0.25">
      <c r="A297" s="26" t="s">
        <v>317</v>
      </c>
    </row>
    <row r="298" spans="1:1" x14ac:dyDescent="0.25">
      <c r="A298" s="25" t="s">
        <v>318</v>
      </c>
    </row>
    <row r="299" spans="1:1" x14ac:dyDescent="0.25">
      <c r="A299" s="26" t="s">
        <v>319</v>
      </c>
    </row>
    <row r="300" spans="1:1" x14ac:dyDescent="0.25">
      <c r="A300" s="26" t="s">
        <v>320</v>
      </c>
    </row>
    <row r="301" spans="1:1" x14ac:dyDescent="0.25">
      <c r="A301" s="26" t="s">
        <v>321</v>
      </c>
    </row>
    <row r="302" spans="1:1" x14ac:dyDescent="0.25">
      <c r="A302" s="25" t="s">
        <v>322</v>
      </c>
    </row>
    <row r="303" spans="1:1" x14ac:dyDescent="0.25">
      <c r="A303" s="25" t="s">
        <v>323</v>
      </c>
    </row>
    <row r="304" spans="1:1" x14ac:dyDescent="0.25">
      <c r="A304" s="25" t="s">
        <v>324</v>
      </c>
    </row>
    <row r="305" spans="1:1" ht="15.75" x14ac:dyDescent="0.25">
      <c r="A305" s="27" t="s">
        <v>325</v>
      </c>
    </row>
    <row r="306" spans="1:1" ht="15.75" x14ac:dyDescent="0.25">
      <c r="A306" s="27" t="s">
        <v>326</v>
      </c>
    </row>
    <row r="307" spans="1:1" x14ac:dyDescent="0.25">
      <c r="A307" s="25" t="s">
        <v>327</v>
      </c>
    </row>
    <row r="308" spans="1:1" x14ac:dyDescent="0.25">
      <c r="A308" s="25" t="s">
        <v>328</v>
      </c>
    </row>
    <row r="309" spans="1:1" x14ac:dyDescent="0.25">
      <c r="A309" s="25" t="s">
        <v>329</v>
      </c>
    </row>
    <row r="310" spans="1:1" x14ac:dyDescent="0.25">
      <c r="A310" s="26" t="s">
        <v>330</v>
      </c>
    </row>
    <row r="311" spans="1:1" x14ac:dyDescent="0.25">
      <c r="A311" s="26" t="s">
        <v>331</v>
      </c>
    </row>
    <row r="312" spans="1:1" x14ac:dyDescent="0.25">
      <c r="A312" s="25" t="s">
        <v>332</v>
      </c>
    </row>
    <row r="313" spans="1:1" x14ac:dyDescent="0.25">
      <c r="A313" s="25" t="s">
        <v>333</v>
      </c>
    </row>
    <row r="314" spans="1:1" x14ac:dyDescent="0.25">
      <c r="A314" s="26" t="s">
        <v>334</v>
      </c>
    </row>
    <row r="315" spans="1:1" x14ac:dyDescent="0.25">
      <c r="A315" s="26" t="s">
        <v>335</v>
      </c>
    </row>
    <row r="316" spans="1:1" x14ac:dyDescent="0.25">
      <c r="A316" s="25" t="s">
        <v>336</v>
      </c>
    </row>
    <row r="317" spans="1:1" x14ac:dyDescent="0.25">
      <c r="A317" s="26" t="s">
        <v>337</v>
      </c>
    </row>
    <row r="318" spans="1:1" x14ac:dyDescent="0.25">
      <c r="A318" s="26" t="s">
        <v>338</v>
      </c>
    </row>
    <row r="319" spans="1:1" x14ac:dyDescent="0.25">
      <c r="A319" s="26" t="s">
        <v>339</v>
      </c>
    </row>
    <row r="320" spans="1:1" x14ac:dyDescent="0.25">
      <c r="A320" s="26" t="s">
        <v>340</v>
      </c>
    </row>
    <row r="321" spans="1:1" x14ac:dyDescent="0.25">
      <c r="A321" s="25" t="s">
        <v>341</v>
      </c>
    </row>
    <row r="322" spans="1:1" x14ac:dyDescent="0.25">
      <c r="A322" s="26" t="s">
        <v>342</v>
      </c>
    </row>
    <row r="323" spans="1:1" x14ac:dyDescent="0.25">
      <c r="A323" s="26" t="s">
        <v>343</v>
      </c>
    </row>
    <row r="324" spans="1:1" x14ac:dyDescent="0.25">
      <c r="A324" s="26" t="s">
        <v>344</v>
      </c>
    </row>
    <row r="325" spans="1:1" x14ac:dyDescent="0.25">
      <c r="A325" s="25" t="s">
        <v>345</v>
      </c>
    </row>
    <row r="326" spans="1:1" x14ac:dyDescent="0.25">
      <c r="A326" s="26" t="s">
        <v>346</v>
      </c>
    </row>
    <row r="327" spans="1:1" x14ac:dyDescent="0.25">
      <c r="A327" s="26" t="s">
        <v>347</v>
      </c>
    </row>
    <row r="328" spans="1:1" x14ac:dyDescent="0.25">
      <c r="A328" s="25" t="s">
        <v>348</v>
      </c>
    </row>
    <row r="329" spans="1:1" x14ac:dyDescent="0.25">
      <c r="A329" s="25" t="s">
        <v>349</v>
      </c>
    </row>
    <row r="330" spans="1:1" x14ac:dyDescent="0.25">
      <c r="A330" s="26" t="s">
        <v>350</v>
      </c>
    </row>
    <row r="331" spans="1:1" x14ac:dyDescent="0.25">
      <c r="A331" s="26" t="s">
        <v>351</v>
      </c>
    </row>
    <row r="332" spans="1:1" x14ac:dyDescent="0.25">
      <c r="A332" s="26" t="s">
        <v>352</v>
      </c>
    </row>
    <row r="333" spans="1:1" x14ac:dyDescent="0.25">
      <c r="A333" s="26" t="s">
        <v>353</v>
      </c>
    </row>
    <row r="334" spans="1:1" x14ac:dyDescent="0.25">
      <c r="A334" s="25" t="s">
        <v>354</v>
      </c>
    </row>
    <row r="335" spans="1:1" x14ac:dyDescent="0.25">
      <c r="A335" s="25" t="s">
        <v>355</v>
      </c>
    </row>
    <row r="336" spans="1:1" x14ac:dyDescent="0.25">
      <c r="A336" s="26" t="s">
        <v>356</v>
      </c>
    </row>
    <row r="337" spans="1:1" x14ac:dyDescent="0.25">
      <c r="A337" s="26" t="s">
        <v>357</v>
      </c>
    </row>
    <row r="338" spans="1:1" x14ac:dyDescent="0.25">
      <c r="A338" s="26" t="s">
        <v>358</v>
      </c>
    </row>
    <row r="339" spans="1:1" x14ac:dyDescent="0.25">
      <c r="A339" s="25" t="s">
        <v>359</v>
      </c>
    </row>
    <row r="340" spans="1:1" x14ac:dyDescent="0.25">
      <c r="A340" s="25" t="s">
        <v>360</v>
      </c>
    </row>
    <row r="341" spans="1:1" x14ac:dyDescent="0.25">
      <c r="A341" s="26" t="s">
        <v>361</v>
      </c>
    </row>
    <row r="342" spans="1:1" x14ac:dyDescent="0.25">
      <c r="A342" s="25" t="s">
        <v>362</v>
      </c>
    </row>
    <row r="343" spans="1:1" x14ac:dyDescent="0.25">
      <c r="A343" s="26" t="s">
        <v>363</v>
      </c>
    </row>
    <row r="344" spans="1:1" x14ac:dyDescent="0.25">
      <c r="A344" s="26" t="s">
        <v>364</v>
      </c>
    </row>
    <row r="345" spans="1:1" x14ac:dyDescent="0.25">
      <c r="A345" s="25" t="s">
        <v>365</v>
      </c>
    </row>
    <row r="346" spans="1:1" x14ac:dyDescent="0.25">
      <c r="A346" s="25" t="s">
        <v>366</v>
      </c>
    </row>
    <row r="347" spans="1:1" x14ac:dyDescent="0.25">
      <c r="A347" s="25" t="s">
        <v>367</v>
      </c>
    </row>
    <row r="348" spans="1:1" x14ac:dyDescent="0.25">
      <c r="A348" s="26" t="s">
        <v>368</v>
      </c>
    </row>
    <row r="349" spans="1:1" x14ac:dyDescent="0.25">
      <c r="A349" s="26" t="s">
        <v>369</v>
      </c>
    </row>
    <row r="350" spans="1:1" x14ac:dyDescent="0.25">
      <c r="A350" s="26" t="s">
        <v>370</v>
      </c>
    </row>
    <row r="351" spans="1:1" x14ac:dyDescent="0.25">
      <c r="A351" s="26" t="s">
        <v>371</v>
      </c>
    </row>
    <row r="352" spans="1:1" x14ac:dyDescent="0.25">
      <c r="A352" s="26" t="s">
        <v>372</v>
      </c>
    </row>
    <row r="353" spans="1:1" x14ac:dyDescent="0.25">
      <c r="A353" s="26" t="s">
        <v>373</v>
      </c>
    </row>
    <row r="354" spans="1:1" x14ac:dyDescent="0.25">
      <c r="A354" s="25" t="s">
        <v>374</v>
      </c>
    </row>
    <row r="355" spans="1:1" x14ac:dyDescent="0.25">
      <c r="A355" s="25" t="s">
        <v>375</v>
      </c>
    </row>
    <row r="356" spans="1:1" x14ac:dyDescent="0.25">
      <c r="A356" s="25" t="s">
        <v>376</v>
      </c>
    </row>
    <row r="357" spans="1:1" ht="15.75" x14ac:dyDescent="0.25">
      <c r="A357" s="27" t="s">
        <v>377</v>
      </c>
    </row>
    <row r="358" spans="1:1" ht="15.75" x14ac:dyDescent="0.25">
      <c r="A358" s="27" t="s">
        <v>378</v>
      </c>
    </row>
    <row r="359" spans="1:1" x14ac:dyDescent="0.25">
      <c r="A359" s="25" t="s">
        <v>379</v>
      </c>
    </row>
    <row r="360" spans="1:1" x14ac:dyDescent="0.25">
      <c r="A360" s="25" t="s">
        <v>380</v>
      </c>
    </row>
    <row r="361" spans="1:1" x14ac:dyDescent="0.25">
      <c r="A361" s="26" t="s">
        <v>381</v>
      </c>
    </row>
    <row r="362" spans="1:1" x14ac:dyDescent="0.25">
      <c r="A362" s="26" t="s">
        <v>382</v>
      </c>
    </row>
    <row r="363" spans="1:1" x14ac:dyDescent="0.25">
      <c r="A363" s="25" t="s">
        <v>383</v>
      </c>
    </row>
    <row r="364" spans="1:1" x14ac:dyDescent="0.25">
      <c r="A364" s="26" t="s">
        <v>384</v>
      </c>
    </row>
    <row r="365" spans="1:1" x14ac:dyDescent="0.25">
      <c r="A365" s="26" t="s">
        <v>385</v>
      </c>
    </row>
    <row r="366" spans="1:1" x14ac:dyDescent="0.25">
      <c r="A366" s="26" t="s">
        <v>386</v>
      </c>
    </row>
    <row r="367" spans="1:1" x14ac:dyDescent="0.25">
      <c r="A367" s="25" t="s">
        <v>387</v>
      </c>
    </row>
    <row r="368" spans="1:1" x14ac:dyDescent="0.25">
      <c r="A368" s="25" t="s">
        <v>388</v>
      </c>
    </row>
    <row r="369" spans="1:1" x14ac:dyDescent="0.25">
      <c r="A369" s="25" t="s">
        <v>389</v>
      </c>
    </row>
    <row r="370" spans="1:1" x14ac:dyDescent="0.25">
      <c r="A370" s="25" t="s">
        <v>390</v>
      </c>
    </row>
    <row r="371" spans="1:1" x14ac:dyDescent="0.25">
      <c r="A371" s="26" t="s">
        <v>391</v>
      </c>
    </row>
    <row r="372" spans="1:1" x14ac:dyDescent="0.25">
      <c r="A372" s="26" t="s">
        <v>392</v>
      </c>
    </row>
    <row r="373" spans="1:1" x14ac:dyDescent="0.25">
      <c r="A373" s="25" t="s">
        <v>393</v>
      </c>
    </row>
    <row r="374" spans="1:1" x14ac:dyDescent="0.25">
      <c r="A374" s="25" t="s">
        <v>394</v>
      </c>
    </row>
    <row r="375" spans="1:1" x14ac:dyDescent="0.25">
      <c r="A375" s="25" t="s">
        <v>395</v>
      </c>
    </row>
    <row r="376" spans="1:1" x14ac:dyDescent="0.25">
      <c r="A376" s="26" t="s">
        <v>396</v>
      </c>
    </row>
    <row r="377" spans="1:1" x14ac:dyDescent="0.25">
      <c r="A377" s="26" t="s">
        <v>397</v>
      </c>
    </row>
    <row r="378" spans="1:1" x14ac:dyDescent="0.25">
      <c r="A378" s="25" t="s">
        <v>398</v>
      </c>
    </row>
    <row r="379" spans="1:1" x14ac:dyDescent="0.25">
      <c r="A379" s="25" t="s">
        <v>399</v>
      </c>
    </row>
    <row r="380" spans="1:1" x14ac:dyDescent="0.25">
      <c r="A380" s="25" t="s">
        <v>400</v>
      </c>
    </row>
    <row r="381" spans="1:1" x14ac:dyDescent="0.25">
      <c r="A381" s="25" t="s">
        <v>401</v>
      </c>
    </row>
    <row r="382" spans="1:1" x14ac:dyDescent="0.25">
      <c r="A382" s="25" t="s">
        <v>402</v>
      </c>
    </row>
    <row r="383" spans="1:1" x14ac:dyDescent="0.25">
      <c r="A383" s="25" t="s">
        <v>403</v>
      </c>
    </row>
    <row r="384" spans="1:1" x14ac:dyDescent="0.25">
      <c r="A384" s="25" t="s">
        <v>404</v>
      </c>
    </row>
    <row r="385" spans="1:1" x14ac:dyDescent="0.25">
      <c r="A385" s="26" t="s">
        <v>405</v>
      </c>
    </row>
    <row r="386" spans="1:1" x14ac:dyDescent="0.25">
      <c r="A386" s="26" t="s">
        <v>406</v>
      </c>
    </row>
    <row r="387" spans="1:1" x14ac:dyDescent="0.25">
      <c r="A387" s="26" t="s">
        <v>407</v>
      </c>
    </row>
    <row r="388" spans="1:1" x14ac:dyDescent="0.25">
      <c r="A388" s="26" t="s">
        <v>408</v>
      </c>
    </row>
    <row r="389" spans="1:1" x14ac:dyDescent="0.25">
      <c r="A389" s="25" t="s">
        <v>409</v>
      </c>
    </row>
    <row r="390" spans="1:1" x14ac:dyDescent="0.25">
      <c r="A390" s="25" t="s">
        <v>410</v>
      </c>
    </row>
    <row r="391" spans="1:1" x14ac:dyDescent="0.25">
      <c r="A391" s="26" t="s">
        <v>411</v>
      </c>
    </row>
    <row r="392" spans="1:1" x14ac:dyDescent="0.25">
      <c r="A392" s="31" t="s">
        <v>412</v>
      </c>
    </row>
    <row r="393" spans="1:1" x14ac:dyDescent="0.25">
      <c r="A393" s="30" t="s">
        <v>413</v>
      </c>
    </row>
    <row r="394" spans="1:1" x14ac:dyDescent="0.25">
      <c r="A394" s="26" t="s">
        <v>414</v>
      </c>
    </row>
    <row r="395" spans="1:1" x14ac:dyDescent="0.25">
      <c r="A395" s="25" t="s">
        <v>415</v>
      </c>
    </row>
    <row r="396" spans="1:1" x14ac:dyDescent="0.25">
      <c r="A396" s="25" t="s">
        <v>416</v>
      </c>
    </row>
    <row r="397" spans="1:1" x14ac:dyDescent="0.25">
      <c r="A397" s="25" t="s">
        <v>417</v>
      </c>
    </row>
    <row r="398" spans="1:1" x14ac:dyDescent="0.25">
      <c r="A398" s="26" t="s">
        <v>418</v>
      </c>
    </row>
    <row r="399" spans="1:1" x14ac:dyDescent="0.25">
      <c r="A399" s="25" t="s">
        <v>419</v>
      </c>
    </row>
    <row r="400" spans="1:1" x14ac:dyDescent="0.25">
      <c r="A400" s="25" t="s">
        <v>420</v>
      </c>
    </row>
    <row r="401" spans="1:1" x14ac:dyDescent="0.25">
      <c r="A401" s="25" t="s">
        <v>421</v>
      </c>
    </row>
    <row r="402" spans="1:1" x14ac:dyDescent="0.25">
      <c r="A402" s="26" t="s">
        <v>422</v>
      </c>
    </row>
    <row r="403" spans="1:1" x14ac:dyDescent="0.25">
      <c r="A403" s="26" t="s">
        <v>423</v>
      </c>
    </row>
    <row r="404" spans="1:1" x14ac:dyDescent="0.25">
      <c r="A404" s="25" t="s">
        <v>424</v>
      </c>
    </row>
    <row r="405" spans="1:1" x14ac:dyDescent="0.25">
      <c r="A405" s="25" t="s">
        <v>425</v>
      </c>
    </row>
    <row r="406" spans="1:1" x14ac:dyDescent="0.25">
      <c r="A406" s="25" t="s">
        <v>426</v>
      </c>
    </row>
    <row r="407" spans="1:1" x14ac:dyDescent="0.25">
      <c r="A407" s="25" t="s">
        <v>427</v>
      </c>
    </row>
    <row r="408" spans="1:1" ht="15.75" x14ac:dyDescent="0.25">
      <c r="A408" s="27" t="s">
        <v>428</v>
      </c>
    </row>
    <row r="409" spans="1:1" ht="15.75" x14ac:dyDescent="0.25">
      <c r="A409" s="27" t="s">
        <v>429</v>
      </c>
    </row>
    <row r="410" spans="1:1" x14ac:dyDescent="0.25">
      <c r="A410" s="25" t="s">
        <v>430</v>
      </c>
    </row>
    <row r="411" spans="1:1" x14ac:dyDescent="0.25">
      <c r="A411" s="25" t="s">
        <v>431</v>
      </c>
    </row>
    <row r="412" spans="1:1" x14ac:dyDescent="0.25">
      <c r="A412" s="26" t="s">
        <v>432</v>
      </c>
    </row>
    <row r="413" spans="1:1" x14ac:dyDescent="0.25">
      <c r="A413" s="26" t="s">
        <v>433</v>
      </c>
    </row>
    <row r="414" spans="1:1" x14ac:dyDescent="0.25">
      <c r="A414" s="25" t="s">
        <v>434</v>
      </c>
    </row>
    <row r="415" spans="1:1" x14ac:dyDescent="0.25">
      <c r="A415" s="25" t="s">
        <v>435</v>
      </c>
    </row>
    <row r="416" spans="1:1" x14ac:dyDescent="0.25">
      <c r="A416" s="38" t="s">
        <v>671</v>
      </c>
    </row>
    <row r="417" spans="1:1" x14ac:dyDescent="0.25">
      <c r="A417" s="38" t="s">
        <v>436</v>
      </c>
    </row>
    <row r="418" spans="1:1" x14ac:dyDescent="0.25">
      <c r="A418" s="39" t="s">
        <v>437</v>
      </c>
    </row>
    <row r="419" spans="1:1" x14ac:dyDescent="0.25">
      <c r="A419" s="30" t="s">
        <v>438</v>
      </c>
    </row>
    <row r="420" spans="1:1" x14ac:dyDescent="0.25">
      <c r="A420" s="31" t="s">
        <v>439</v>
      </c>
    </row>
    <row r="421" spans="1:1" x14ac:dyDescent="0.25">
      <c r="A421" s="31" t="s">
        <v>440</v>
      </c>
    </row>
    <row r="422" spans="1:1" x14ac:dyDescent="0.25">
      <c r="A422" s="25" t="s">
        <v>441</v>
      </c>
    </row>
    <row r="423" spans="1:1" x14ac:dyDescent="0.25">
      <c r="A423" s="25" t="s">
        <v>442</v>
      </c>
    </row>
    <row r="424" spans="1:1" x14ac:dyDescent="0.25">
      <c r="A424" s="25" t="s">
        <v>443</v>
      </c>
    </row>
    <row r="425" spans="1:1" x14ac:dyDescent="0.25">
      <c r="A425" s="25" t="s">
        <v>444</v>
      </c>
    </row>
    <row r="426" spans="1:1" x14ac:dyDescent="0.25">
      <c r="A426" s="25" t="s">
        <v>445</v>
      </c>
    </row>
    <row r="427" spans="1:1" x14ac:dyDescent="0.25">
      <c r="A427" s="25" t="s">
        <v>446</v>
      </c>
    </row>
    <row r="428" spans="1:1" x14ac:dyDescent="0.25">
      <c r="A428" s="26" t="s">
        <v>447</v>
      </c>
    </row>
    <row r="429" spans="1:1" x14ac:dyDescent="0.25">
      <c r="A429" s="26" t="s">
        <v>448</v>
      </c>
    </row>
    <row r="430" spans="1:1" x14ac:dyDescent="0.25">
      <c r="A430" s="25" t="s">
        <v>449</v>
      </c>
    </row>
    <row r="431" spans="1:1" x14ac:dyDescent="0.25">
      <c r="A431" s="25" t="s">
        <v>450</v>
      </c>
    </row>
    <row r="432" spans="1:1" x14ac:dyDescent="0.25">
      <c r="A432" s="25" t="s">
        <v>451</v>
      </c>
    </row>
    <row r="433" spans="1:1" x14ac:dyDescent="0.25">
      <c r="A433" s="25" t="s">
        <v>452</v>
      </c>
    </row>
    <row r="434" spans="1:1" x14ac:dyDescent="0.25">
      <c r="A434" s="25" t="s">
        <v>453</v>
      </c>
    </row>
    <row r="435" spans="1:1" x14ac:dyDescent="0.25">
      <c r="A435" s="26" t="s">
        <v>454</v>
      </c>
    </row>
    <row r="436" spans="1:1" x14ac:dyDescent="0.25">
      <c r="A436" s="25" t="s">
        <v>455</v>
      </c>
    </row>
    <row r="437" spans="1:1" x14ac:dyDescent="0.25">
      <c r="A437" s="26" t="s">
        <v>456</v>
      </c>
    </row>
    <row r="438" spans="1:1" x14ac:dyDescent="0.25">
      <c r="A438" s="26" t="s">
        <v>457</v>
      </c>
    </row>
    <row r="439" spans="1:1" x14ac:dyDescent="0.25">
      <c r="A439" s="25" t="s">
        <v>458</v>
      </c>
    </row>
    <row r="440" spans="1:1" x14ac:dyDescent="0.25">
      <c r="A440" s="25" t="s">
        <v>459</v>
      </c>
    </row>
    <row r="441" spans="1:1" x14ac:dyDescent="0.25">
      <c r="A441" s="25" t="s">
        <v>460</v>
      </c>
    </row>
    <row r="442" spans="1:1" x14ac:dyDescent="0.25">
      <c r="A442" s="25" t="s">
        <v>461</v>
      </c>
    </row>
    <row r="443" spans="1:1" x14ac:dyDescent="0.25">
      <c r="A443" s="25" t="s">
        <v>462</v>
      </c>
    </row>
    <row r="444" spans="1:1" x14ac:dyDescent="0.25">
      <c r="A444" s="26" t="s">
        <v>463</v>
      </c>
    </row>
    <row r="445" spans="1:1" x14ac:dyDescent="0.25">
      <c r="A445" s="26" t="s">
        <v>464</v>
      </c>
    </row>
    <row r="446" spans="1:1" x14ac:dyDescent="0.25">
      <c r="A446" s="25" t="s">
        <v>465</v>
      </c>
    </row>
    <row r="447" spans="1:1" x14ac:dyDescent="0.25">
      <c r="A447" s="25" t="s">
        <v>466</v>
      </c>
    </row>
    <row r="448" spans="1:1" x14ac:dyDescent="0.25">
      <c r="A448" s="25" t="s">
        <v>467</v>
      </c>
    </row>
    <row r="449" spans="1:1" x14ac:dyDescent="0.25">
      <c r="A449" s="25" t="s">
        <v>468</v>
      </c>
    </row>
    <row r="450" spans="1:1" x14ac:dyDescent="0.25">
      <c r="A450" s="25" t="s">
        <v>469</v>
      </c>
    </row>
    <row r="451" spans="1:1" x14ac:dyDescent="0.25">
      <c r="A451" s="25" t="s">
        <v>470</v>
      </c>
    </row>
    <row r="452" spans="1:1" x14ac:dyDescent="0.25">
      <c r="A452" s="26" t="s">
        <v>471</v>
      </c>
    </row>
    <row r="453" spans="1:1" x14ac:dyDescent="0.25">
      <c r="A453" s="26" t="s">
        <v>472</v>
      </c>
    </row>
    <row r="454" spans="1:1" x14ac:dyDescent="0.25">
      <c r="A454" s="26" t="s">
        <v>473</v>
      </c>
    </row>
    <row r="455" spans="1:1" x14ac:dyDescent="0.25">
      <c r="A455" s="25" t="s">
        <v>474</v>
      </c>
    </row>
    <row r="456" spans="1:1" x14ac:dyDescent="0.25">
      <c r="A456" s="25" t="s">
        <v>475</v>
      </c>
    </row>
    <row r="457" spans="1:1" x14ac:dyDescent="0.25">
      <c r="A457" s="25" t="s">
        <v>476</v>
      </c>
    </row>
    <row r="458" spans="1:1" x14ac:dyDescent="0.25">
      <c r="A458" s="25" t="s">
        <v>477</v>
      </c>
    </row>
    <row r="459" spans="1:1" ht="15.75" x14ac:dyDescent="0.25">
      <c r="A459" s="27" t="s">
        <v>478</v>
      </c>
    </row>
    <row r="460" spans="1:1" ht="15.75" x14ac:dyDescent="0.25">
      <c r="A460" s="27" t="s">
        <v>479</v>
      </c>
    </row>
    <row r="461" spans="1:1" x14ac:dyDescent="0.25">
      <c r="A461" s="25" t="s">
        <v>480</v>
      </c>
    </row>
    <row r="462" spans="1:1" x14ac:dyDescent="0.25">
      <c r="A462" s="25" t="s">
        <v>481</v>
      </c>
    </row>
    <row r="463" spans="1:1" x14ac:dyDescent="0.25">
      <c r="A463" s="25" t="s">
        <v>482</v>
      </c>
    </row>
    <row r="464" spans="1:1" x14ac:dyDescent="0.25">
      <c r="A464" s="26" t="s">
        <v>483</v>
      </c>
    </row>
    <row r="465" spans="1:1" x14ac:dyDescent="0.25">
      <c r="A465" s="26" t="s">
        <v>484</v>
      </c>
    </row>
    <row r="466" spans="1:1" x14ac:dyDescent="0.25">
      <c r="A466" s="25" t="s">
        <v>485</v>
      </c>
    </row>
    <row r="467" spans="1:1" x14ac:dyDescent="0.25">
      <c r="A467" s="25" t="s">
        <v>486</v>
      </c>
    </row>
    <row r="468" spans="1:1" x14ac:dyDescent="0.25">
      <c r="A468" s="26" t="s">
        <v>487</v>
      </c>
    </row>
    <row r="469" spans="1:1" x14ac:dyDescent="0.25">
      <c r="A469" s="25" t="s">
        <v>488</v>
      </c>
    </row>
    <row r="470" spans="1:1" x14ac:dyDescent="0.25">
      <c r="A470" s="25" t="s">
        <v>489</v>
      </c>
    </row>
    <row r="471" spans="1:1" x14ac:dyDescent="0.25">
      <c r="A471" s="25" t="s">
        <v>490</v>
      </c>
    </row>
    <row r="472" spans="1:1" x14ac:dyDescent="0.25">
      <c r="A472" s="25" t="s">
        <v>491</v>
      </c>
    </row>
    <row r="473" spans="1:1" x14ac:dyDescent="0.25">
      <c r="A473" s="26" t="s">
        <v>492</v>
      </c>
    </row>
    <row r="474" spans="1:1" x14ac:dyDescent="0.25">
      <c r="A474" s="25" t="s">
        <v>493</v>
      </c>
    </row>
    <row r="475" spans="1:1" x14ac:dyDescent="0.25">
      <c r="A475" s="25" t="s">
        <v>494</v>
      </c>
    </row>
    <row r="476" spans="1:1" x14ac:dyDescent="0.25">
      <c r="A476" s="25" t="s">
        <v>495</v>
      </c>
    </row>
    <row r="477" spans="1:1" x14ac:dyDescent="0.25">
      <c r="A477" s="25" t="s">
        <v>496</v>
      </c>
    </row>
    <row r="478" spans="1:1" x14ac:dyDescent="0.25">
      <c r="A478" s="26" t="s">
        <v>497</v>
      </c>
    </row>
    <row r="479" spans="1:1" x14ac:dyDescent="0.25">
      <c r="A479" s="25" t="s">
        <v>498</v>
      </c>
    </row>
    <row r="480" spans="1:1" x14ac:dyDescent="0.25">
      <c r="A480" s="25" t="s">
        <v>499</v>
      </c>
    </row>
    <row r="481" spans="1:1" x14ac:dyDescent="0.25">
      <c r="A481" s="25" t="s">
        <v>500</v>
      </c>
    </row>
    <row r="482" spans="1:1" x14ac:dyDescent="0.25">
      <c r="A482" s="25" t="s">
        <v>501</v>
      </c>
    </row>
    <row r="483" spans="1:1" x14ac:dyDescent="0.25">
      <c r="A483" s="26" t="s">
        <v>502</v>
      </c>
    </row>
    <row r="484" spans="1:1" x14ac:dyDescent="0.25">
      <c r="A484" s="26" t="s">
        <v>503</v>
      </c>
    </row>
    <row r="485" spans="1:1" x14ac:dyDescent="0.25">
      <c r="A485" s="25" t="s">
        <v>504</v>
      </c>
    </row>
    <row r="486" spans="1:1" x14ac:dyDescent="0.25">
      <c r="A486" s="25" t="s">
        <v>505</v>
      </c>
    </row>
    <row r="487" spans="1:1" x14ac:dyDescent="0.25">
      <c r="A487" s="25" t="s">
        <v>506</v>
      </c>
    </row>
    <row r="488" spans="1:1" x14ac:dyDescent="0.25">
      <c r="A488" s="26" t="s">
        <v>507</v>
      </c>
    </row>
    <row r="489" spans="1:1" x14ac:dyDescent="0.25">
      <c r="A489" s="25" t="s">
        <v>508</v>
      </c>
    </row>
    <row r="490" spans="1:1" x14ac:dyDescent="0.25">
      <c r="A490" s="25" t="s">
        <v>509</v>
      </c>
    </row>
    <row r="491" spans="1:1" x14ac:dyDescent="0.25">
      <c r="A491" s="26" t="s">
        <v>510</v>
      </c>
    </row>
    <row r="492" spans="1:1" x14ac:dyDescent="0.25">
      <c r="A492" s="26" t="s">
        <v>511</v>
      </c>
    </row>
    <row r="493" spans="1:1" x14ac:dyDescent="0.25">
      <c r="A493" s="26" t="s">
        <v>512</v>
      </c>
    </row>
    <row r="494" spans="1:1" x14ac:dyDescent="0.25">
      <c r="A494" s="25" t="s">
        <v>513</v>
      </c>
    </row>
    <row r="495" spans="1:1" x14ac:dyDescent="0.25">
      <c r="A495" s="26" t="s">
        <v>514</v>
      </c>
    </row>
    <row r="496" spans="1:1" x14ac:dyDescent="0.25">
      <c r="A496" s="26" t="s">
        <v>515</v>
      </c>
    </row>
    <row r="497" spans="1:1" x14ac:dyDescent="0.25">
      <c r="A497" s="25" t="s">
        <v>516</v>
      </c>
    </row>
    <row r="498" spans="1:1" x14ac:dyDescent="0.25">
      <c r="A498" s="25" t="s">
        <v>517</v>
      </c>
    </row>
    <row r="499" spans="1:1" x14ac:dyDescent="0.25">
      <c r="A499" s="25" t="s">
        <v>518</v>
      </c>
    </row>
    <row r="500" spans="1:1" x14ac:dyDescent="0.25">
      <c r="A500" s="25" t="s">
        <v>519</v>
      </c>
    </row>
    <row r="501" spans="1:1" x14ac:dyDescent="0.25">
      <c r="A501" s="26" t="s">
        <v>520</v>
      </c>
    </row>
    <row r="502" spans="1:1" x14ac:dyDescent="0.25">
      <c r="A502" s="26" t="s">
        <v>521</v>
      </c>
    </row>
    <row r="503" spans="1:1" x14ac:dyDescent="0.25">
      <c r="A503" s="26" t="s">
        <v>522</v>
      </c>
    </row>
    <row r="504" spans="1:1" x14ac:dyDescent="0.25">
      <c r="A504" s="26" t="s">
        <v>523</v>
      </c>
    </row>
    <row r="505" spans="1:1" x14ac:dyDescent="0.25">
      <c r="A505" s="26" t="s">
        <v>524</v>
      </c>
    </row>
    <row r="506" spans="1:1" x14ac:dyDescent="0.25">
      <c r="A506" s="26" t="s">
        <v>525</v>
      </c>
    </row>
    <row r="507" spans="1:1" x14ac:dyDescent="0.25">
      <c r="A507" s="25" t="s">
        <v>526</v>
      </c>
    </row>
    <row r="508" spans="1:1" x14ac:dyDescent="0.25">
      <c r="A508" s="25" t="s">
        <v>527</v>
      </c>
    </row>
    <row r="509" spans="1:1" x14ac:dyDescent="0.25">
      <c r="A509" s="25" t="s">
        <v>528</v>
      </c>
    </row>
    <row r="510" spans="1:1" x14ac:dyDescent="0.25">
      <c r="A510" s="25" t="s">
        <v>529</v>
      </c>
    </row>
    <row r="511" spans="1:1" ht="15.75" x14ac:dyDescent="0.25">
      <c r="A511" s="27" t="s">
        <v>530</v>
      </c>
    </row>
    <row r="512" spans="1:1" ht="15.75" x14ac:dyDescent="0.25">
      <c r="A512" s="27" t="s">
        <v>531</v>
      </c>
    </row>
    <row r="513" spans="1:1" x14ac:dyDescent="0.25">
      <c r="A513" s="25" t="s">
        <v>532</v>
      </c>
    </row>
    <row r="514" spans="1:1" x14ac:dyDescent="0.25">
      <c r="A514" s="25" t="s">
        <v>533</v>
      </c>
    </row>
    <row r="515" spans="1:1" x14ac:dyDescent="0.25">
      <c r="A515" s="26" t="s">
        <v>534</v>
      </c>
    </row>
    <row r="516" spans="1:1" x14ac:dyDescent="0.25">
      <c r="A516" s="26" t="s">
        <v>535</v>
      </c>
    </row>
    <row r="517" spans="1:1" x14ac:dyDescent="0.25">
      <c r="A517" s="25" t="s">
        <v>536</v>
      </c>
    </row>
    <row r="518" spans="1:1" x14ac:dyDescent="0.25">
      <c r="A518" s="25" t="s">
        <v>537</v>
      </c>
    </row>
    <row r="519" spans="1:1" x14ac:dyDescent="0.25">
      <c r="A519" s="26" t="s">
        <v>538</v>
      </c>
    </row>
    <row r="520" spans="1:1" x14ac:dyDescent="0.25">
      <c r="A520" s="25" t="s">
        <v>539</v>
      </c>
    </row>
    <row r="521" spans="1:1" x14ac:dyDescent="0.25">
      <c r="A521" s="26" t="s">
        <v>540</v>
      </c>
    </row>
    <row r="522" spans="1:1" x14ac:dyDescent="0.25">
      <c r="A522" s="25" t="s">
        <v>541</v>
      </c>
    </row>
    <row r="523" spans="1:1" x14ac:dyDescent="0.25">
      <c r="A523" s="26" t="s">
        <v>542</v>
      </c>
    </row>
    <row r="524" spans="1:1" x14ac:dyDescent="0.25">
      <c r="A524" s="25" t="s">
        <v>543</v>
      </c>
    </row>
    <row r="525" spans="1:1" x14ac:dyDescent="0.25">
      <c r="A525" s="25" t="s">
        <v>544</v>
      </c>
    </row>
    <row r="526" spans="1:1" x14ac:dyDescent="0.25">
      <c r="A526" s="26" t="s">
        <v>545</v>
      </c>
    </row>
    <row r="527" spans="1:1" x14ac:dyDescent="0.25">
      <c r="A527" s="25" t="s">
        <v>546</v>
      </c>
    </row>
    <row r="528" spans="1:1" x14ac:dyDescent="0.25">
      <c r="A528" s="26" t="s">
        <v>547</v>
      </c>
    </row>
    <row r="529" spans="1:1" x14ac:dyDescent="0.25">
      <c r="A529" s="25" t="s">
        <v>548</v>
      </c>
    </row>
    <row r="530" spans="1:1" x14ac:dyDescent="0.25">
      <c r="A530" s="25" t="s">
        <v>549</v>
      </c>
    </row>
    <row r="531" spans="1:1" x14ac:dyDescent="0.25">
      <c r="A531" s="26" t="s">
        <v>550</v>
      </c>
    </row>
    <row r="532" spans="1:1" x14ac:dyDescent="0.25">
      <c r="A532" s="26" t="s">
        <v>551</v>
      </c>
    </row>
    <row r="533" spans="1:1" x14ac:dyDescent="0.25">
      <c r="A533" s="26" t="s">
        <v>552</v>
      </c>
    </row>
    <row r="534" spans="1:1" x14ac:dyDescent="0.25">
      <c r="A534" s="25" t="s">
        <v>553</v>
      </c>
    </row>
    <row r="535" spans="1:1" x14ac:dyDescent="0.25">
      <c r="A535" s="25" t="s">
        <v>554</v>
      </c>
    </row>
    <row r="536" spans="1:1" x14ac:dyDescent="0.25">
      <c r="A536" s="25" t="s">
        <v>555</v>
      </c>
    </row>
    <row r="537" spans="1:1" x14ac:dyDescent="0.25">
      <c r="A537" s="25" t="s">
        <v>556</v>
      </c>
    </row>
    <row r="538" spans="1:1" x14ac:dyDescent="0.25">
      <c r="A538" s="26" t="s">
        <v>557</v>
      </c>
    </row>
    <row r="539" spans="1:1" x14ac:dyDescent="0.25">
      <c r="A539" s="25" t="s">
        <v>558</v>
      </c>
    </row>
    <row r="540" spans="1:1" x14ac:dyDescent="0.25">
      <c r="A540" s="25" t="s">
        <v>559</v>
      </c>
    </row>
    <row r="541" spans="1:1" x14ac:dyDescent="0.25">
      <c r="A541" s="25" t="s">
        <v>560</v>
      </c>
    </row>
    <row r="542" spans="1:1" x14ac:dyDescent="0.25">
      <c r="A542" s="25" t="s">
        <v>561</v>
      </c>
    </row>
    <row r="543" spans="1:1" x14ac:dyDescent="0.25">
      <c r="A543" s="25" t="s">
        <v>562</v>
      </c>
    </row>
    <row r="544" spans="1:1" x14ac:dyDescent="0.25">
      <c r="A544" s="26" t="s">
        <v>563</v>
      </c>
    </row>
    <row r="545" spans="1:1" x14ac:dyDescent="0.25">
      <c r="A545" s="31" t="s">
        <v>564</v>
      </c>
    </row>
    <row r="546" spans="1:1" x14ac:dyDescent="0.25">
      <c r="A546" s="30" t="s">
        <v>565</v>
      </c>
    </row>
    <row r="547" spans="1:1" x14ac:dyDescent="0.25">
      <c r="A547" s="26" t="s">
        <v>566</v>
      </c>
    </row>
    <row r="548" spans="1:1" x14ac:dyDescent="0.25">
      <c r="A548" s="26" t="s">
        <v>567</v>
      </c>
    </row>
    <row r="549" spans="1:1" x14ac:dyDescent="0.25">
      <c r="A549" s="26" t="s">
        <v>568</v>
      </c>
    </row>
    <row r="550" spans="1:1" x14ac:dyDescent="0.25">
      <c r="A550" s="25" t="s">
        <v>569</v>
      </c>
    </row>
    <row r="551" spans="1:1" x14ac:dyDescent="0.25">
      <c r="A551" s="26" t="s">
        <v>570</v>
      </c>
    </row>
    <row r="552" spans="1:1" x14ac:dyDescent="0.25">
      <c r="A552" s="25" t="s">
        <v>571</v>
      </c>
    </row>
    <row r="553" spans="1:1" x14ac:dyDescent="0.25">
      <c r="A553" s="26" t="s">
        <v>572</v>
      </c>
    </row>
    <row r="554" spans="1:1" x14ac:dyDescent="0.25">
      <c r="A554" s="26" t="s">
        <v>573</v>
      </c>
    </row>
    <row r="555" spans="1:1" x14ac:dyDescent="0.25">
      <c r="A555" s="36" t="s">
        <v>574</v>
      </c>
    </row>
    <row r="556" spans="1:1" x14ac:dyDescent="0.25">
      <c r="A556" s="25" t="s">
        <v>575</v>
      </c>
    </row>
    <row r="557" spans="1:1" ht="15.75" x14ac:dyDescent="0.25">
      <c r="A557" s="40" t="s">
        <v>576</v>
      </c>
    </row>
    <row r="558" spans="1:1" ht="15.75" x14ac:dyDescent="0.25">
      <c r="A558" s="40" t="s">
        <v>577</v>
      </c>
    </row>
    <row r="559" spans="1:1" x14ac:dyDescent="0.25">
      <c r="A559" s="25" t="s">
        <v>578</v>
      </c>
    </row>
    <row r="560" spans="1:1" x14ac:dyDescent="0.25">
      <c r="A560" s="25" t="s">
        <v>579</v>
      </c>
    </row>
    <row r="561" spans="1:1" x14ac:dyDescent="0.25">
      <c r="A561" s="25" t="s">
        <v>580</v>
      </c>
    </row>
    <row r="562" spans="1:1" x14ac:dyDescent="0.25">
      <c r="A562" s="25" t="s">
        <v>581</v>
      </c>
    </row>
    <row r="563" spans="1:1" x14ac:dyDescent="0.25">
      <c r="A563" s="26" t="s">
        <v>582</v>
      </c>
    </row>
    <row r="564" spans="1:1" x14ac:dyDescent="0.25">
      <c r="A564" s="26" t="s">
        <v>583</v>
      </c>
    </row>
    <row r="565" spans="1:1" x14ac:dyDescent="0.25">
      <c r="A565" s="25" t="s">
        <v>584</v>
      </c>
    </row>
    <row r="566" spans="1:1" x14ac:dyDescent="0.25">
      <c r="A566" s="26" t="s">
        <v>585</v>
      </c>
    </row>
    <row r="567" spans="1:1" x14ac:dyDescent="0.25">
      <c r="A567" s="25" t="s">
        <v>586</v>
      </c>
    </row>
    <row r="568" spans="1:1" x14ac:dyDescent="0.25">
      <c r="A568" s="25" t="s">
        <v>587</v>
      </c>
    </row>
    <row r="569" spans="1:1" x14ac:dyDescent="0.25">
      <c r="A569" s="25" t="s">
        <v>588</v>
      </c>
    </row>
    <row r="570" spans="1:1" x14ac:dyDescent="0.25">
      <c r="A570" s="25" t="s">
        <v>589</v>
      </c>
    </row>
    <row r="571" spans="1:1" x14ac:dyDescent="0.25">
      <c r="A571" s="25" t="s">
        <v>590</v>
      </c>
    </row>
    <row r="572" spans="1:1" x14ac:dyDescent="0.25">
      <c r="A572" s="26" t="s">
        <v>591</v>
      </c>
    </row>
    <row r="573" spans="1:1" x14ac:dyDescent="0.25">
      <c r="A573" s="26" t="s">
        <v>592</v>
      </c>
    </row>
    <row r="574" spans="1:1" x14ac:dyDescent="0.25">
      <c r="A574" s="25" t="s">
        <v>593</v>
      </c>
    </row>
    <row r="575" spans="1:1" x14ac:dyDescent="0.25">
      <c r="A575" s="26" t="s">
        <v>594</v>
      </c>
    </row>
    <row r="576" spans="1:1" x14ac:dyDescent="0.25">
      <c r="A576" s="25" t="s">
        <v>595</v>
      </c>
    </row>
    <row r="577" spans="1:1" x14ac:dyDescent="0.25">
      <c r="A577" s="26" t="s">
        <v>596</v>
      </c>
    </row>
    <row r="578" spans="1:1" x14ac:dyDescent="0.25">
      <c r="A578" s="25" t="s">
        <v>597</v>
      </c>
    </row>
    <row r="579" spans="1:1" x14ac:dyDescent="0.25">
      <c r="A579" s="25" t="s">
        <v>598</v>
      </c>
    </row>
    <row r="580" spans="1:1" x14ac:dyDescent="0.25">
      <c r="A580" s="25" t="s">
        <v>599</v>
      </c>
    </row>
    <row r="581" spans="1:1" x14ac:dyDescent="0.25">
      <c r="A581" s="26" t="s">
        <v>600</v>
      </c>
    </row>
    <row r="582" spans="1:1" x14ac:dyDescent="0.25">
      <c r="A582" s="26" t="s">
        <v>601</v>
      </c>
    </row>
    <row r="583" spans="1:1" x14ac:dyDescent="0.25">
      <c r="A583" s="26" t="s">
        <v>602</v>
      </c>
    </row>
    <row r="584" spans="1:1" x14ac:dyDescent="0.25">
      <c r="A584" s="25" t="s">
        <v>603</v>
      </c>
    </row>
    <row r="585" spans="1:1" x14ac:dyDescent="0.25">
      <c r="A585" s="25" t="s">
        <v>604</v>
      </c>
    </row>
    <row r="586" spans="1:1" x14ac:dyDescent="0.25">
      <c r="A586" s="25" t="s">
        <v>605</v>
      </c>
    </row>
    <row r="587" spans="1:1" x14ac:dyDescent="0.25">
      <c r="A587" s="26" t="s">
        <v>606</v>
      </c>
    </row>
    <row r="588" spans="1:1" x14ac:dyDescent="0.25">
      <c r="A588" s="26" t="s">
        <v>607</v>
      </c>
    </row>
    <row r="589" spans="1:1" x14ac:dyDescent="0.25">
      <c r="A589" s="25" t="s">
        <v>608</v>
      </c>
    </row>
    <row r="590" spans="1:1" x14ac:dyDescent="0.25">
      <c r="A590" s="26" t="s">
        <v>609</v>
      </c>
    </row>
    <row r="591" spans="1:1" x14ac:dyDescent="0.25">
      <c r="A591" s="25" t="s">
        <v>610</v>
      </c>
    </row>
    <row r="592" spans="1:1" x14ac:dyDescent="0.25">
      <c r="A592" s="26" t="s">
        <v>611</v>
      </c>
    </row>
    <row r="593" spans="1:1" x14ac:dyDescent="0.25">
      <c r="A593" s="26" t="s">
        <v>612</v>
      </c>
    </row>
    <row r="594" spans="1:1" x14ac:dyDescent="0.25">
      <c r="A594" s="26" t="s">
        <v>613</v>
      </c>
    </row>
    <row r="595" spans="1:1" x14ac:dyDescent="0.25">
      <c r="A595" s="25" t="s">
        <v>614</v>
      </c>
    </row>
    <row r="596" spans="1:1" x14ac:dyDescent="0.25">
      <c r="A596" s="25" t="s">
        <v>615</v>
      </c>
    </row>
    <row r="597" spans="1:1" x14ac:dyDescent="0.25">
      <c r="A597" s="25" t="s">
        <v>616</v>
      </c>
    </row>
    <row r="598" spans="1:1" x14ac:dyDescent="0.25">
      <c r="A598" s="25" t="s">
        <v>617</v>
      </c>
    </row>
    <row r="599" spans="1:1" x14ac:dyDescent="0.25">
      <c r="A599" s="25" t="s">
        <v>618</v>
      </c>
    </row>
    <row r="600" spans="1:1" x14ac:dyDescent="0.25">
      <c r="A600" s="25" t="s">
        <v>619</v>
      </c>
    </row>
    <row r="601" spans="1:1" x14ac:dyDescent="0.25">
      <c r="A601" s="25" t="s">
        <v>620</v>
      </c>
    </row>
    <row r="602" spans="1:1" x14ac:dyDescent="0.25">
      <c r="A602" s="25" t="s">
        <v>621</v>
      </c>
    </row>
    <row r="603" spans="1:1" x14ac:dyDescent="0.25">
      <c r="A603" s="25"/>
    </row>
    <row r="604" spans="1:1" x14ac:dyDescent="0.25">
      <c r="A604" s="25"/>
    </row>
    <row r="605" spans="1:1" x14ac:dyDescent="0.25">
      <c r="A605" s="25"/>
    </row>
    <row r="606" spans="1:1" x14ac:dyDescent="0.25">
      <c r="A606" s="25"/>
    </row>
    <row r="607" spans="1:1" x14ac:dyDescent="0.25">
      <c r="A607" s="25"/>
    </row>
    <row r="608" spans="1:1" x14ac:dyDescent="0.25">
      <c r="A608" s="25"/>
    </row>
    <row r="609" spans="1:1" x14ac:dyDescent="0.25">
      <c r="A609" s="25"/>
    </row>
    <row r="610" spans="1:1" x14ac:dyDescent="0.25">
      <c r="A610" s="25"/>
    </row>
    <row r="611" spans="1:1" x14ac:dyDescent="0.25">
      <c r="A611" s="25"/>
    </row>
    <row r="612" spans="1:1" x14ac:dyDescent="0.25">
      <c r="A612" s="25"/>
    </row>
    <row r="613" spans="1:1" x14ac:dyDescent="0.25">
      <c r="A613" s="25"/>
    </row>
    <row r="614" spans="1:1" x14ac:dyDescent="0.25">
      <c r="A614" s="25"/>
    </row>
    <row r="615" spans="1:1" x14ac:dyDescent="0.25">
      <c r="A615" s="25"/>
    </row>
    <row r="616" spans="1:1" x14ac:dyDescent="0.25">
      <c r="A616" s="25"/>
    </row>
    <row r="617" spans="1:1" x14ac:dyDescent="0.25">
      <c r="A617" s="25"/>
    </row>
    <row r="619" spans="1:1" x14ac:dyDescent="0.25">
      <c r="A619" s="25"/>
    </row>
    <row r="620" spans="1:1" x14ac:dyDescent="0.25">
      <c r="A620" s="25"/>
    </row>
    <row r="621" spans="1:1" ht="15.75" x14ac:dyDescent="0.25">
      <c r="A621" s="27"/>
    </row>
    <row r="622" spans="1:1" x14ac:dyDescent="0.25">
      <c r="A622" s="25"/>
    </row>
    <row r="623" spans="1:1" x14ac:dyDescent="0.25">
      <c r="A623" s="25"/>
    </row>
    <row r="624" spans="1:1" x14ac:dyDescent="0.25">
      <c r="A624" s="25"/>
    </row>
    <row r="625" spans="1:1" x14ac:dyDescent="0.25">
      <c r="A625" s="25"/>
    </row>
    <row r="626" spans="1:1" x14ac:dyDescent="0.25">
      <c r="A626" s="25"/>
    </row>
    <row r="627" spans="1:1" x14ac:dyDescent="0.25">
      <c r="A627" s="25"/>
    </row>
    <row r="628" spans="1:1" x14ac:dyDescent="0.25">
      <c r="A628" s="25"/>
    </row>
    <row r="629" spans="1:1" x14ac:dyDescent="0.25">
      <c r="A629" s="25"/>
    </row>
    <row r="630" spans="1:1" x14ac:dyDescent="0.25">
      <c r="A630" s="25"/>
    </row>
    <row r="631" spans="1:1" x14ac:dyDescent="0.25">
      <c r="A631" s="25"/>
    </row>
    <row r="632" spans="1:1" x14ac:dyDescent="0.25">
      <c r="A632" s="25"/>
    </row>
    <row r="633" spans="1:1" x14ac:dyDescent="0.25">
      <c r="A633" s="25"/>
    </row>
    <row r="634" spans="1:1" x14ac:dyDescent="0.25">
      <c r="A634" s="25"/>
    </row>
    <row r="636" spans="1:1" x14ac:dyDescent="0.25">
      <c r="A636" s="25"/>
    </row>
    <row r="637" spans="1:1" x14ac:dyDescent="0.25">
      <c r="A637" s="25"/>
    </row>
    <row r="638" spans="1:1" ht="15.75" x14ac:dyDescent="0.25">
      <c r="A638" s="27"/>
    </row>
    <row r="639" spans="1:1" ht="15.75" x14ac:dyDescent="0.25">
      <c r="A639" s="27"/>
    </row>
    <row r="640" spans="1:1" x14ac:dyDescent="0.25">
      <c r="A640" s="25"/>
    </row>
    <row r="641" spans="1:1" x14ac:dyDescent="0.25">
      <c r="A641" s="25"/>
    </row>
    <row r="642" spans="1:1" x14ac:dyDescent="0.25">
      <c r="A642" s="25"/>
    </row>
    <row r="643" spans="1:1" x14ac:dyDescent="0.25">
      <c r="A643" s="25"/>
    </row>
    <row r="644" spans="1:1" x14ac:dyDescent="0.25">
      <c r="A644" s="25"/>
    </row>
    <row r="645" spans="1:1" x14ac:dyDescent="0.25">
      <c r="A645" s="26"/>
    </row>
    <row r="646" spans="1:1" x14ac:dyDescent="0.25">
      <c r="A646" s="26"/>
    </row>
    <row r="647" spans="1:1" x14ac:dyDescent="0.25">
      <c r="A647" s="25"/>
    </row>
    <row r="648" spans="1:1" x14ac:dyDescent="0.25">
      <c r="A648" s="25"/>
    </row>
    <row r="649" spans="1:1" x14ac:dyDescent="0.25">
      <c r="A649" s="25"/>
    </row>
    <row r="650" spans="1:1" x14ac:dyDescent="0.25">
      <c r="A650" s="25"/>
    </row>
    <row r="651" spans="1:1" x14ac:dyDescent="0.25">
      <c r="A651" s="26"/>
    </row>
    <row r="652" spans="1:1" x14ac:dyDescent="0.25">
      <c r="A652" s="26"/>
    </row>
    <row r="653" spans="1:1" x14ac:dyDescent="0.25">
      <c r="A653" s="25"/>
    </row>
    <row r="654" spans="1:1" x14ac:dyDescent="0.25">
      <c r="A654" s="26"/>
    </row>
    <row r="655" spans="1:1" x14ac:dyDescent="0.25">
      <c r="A655" s="26"/>
    </row>
    <row r="656" spans="1:1" x14ac:dyDescent="0.25">
      <c r="A656" s="26"/>
    </row>
    <row r="657" spans="1:1" x14ac:dyDescent="0.25">
      <c r="A657" s="25"/>
    </row>
    <row r="658" spans="1:1" x14ac:dyDescent="0.25">
      <c r="A658" s="25"/>
    </row>
    <row r="659" spans="1:1" x14ac:dyDescent="0.25">
      <c r="A659" s="25"/>
    </row>
    <row r="660" spans="1:1" x14ac:dyDescent="0.25">
      <c r="A660" s="25"/>
    </row>
    <row r="661" spans="1:1" x14ac:dyDescent="0.25">
      <c r="A661" s="26"/>
    </row>
    <row r="662" spans="1:1" x14ac:dyDescent="0.25">
      <c r="A662" s="26"/>
    </row>
    <row r="663" spans="1:1" x14ac:dyDescent="0.25">
      <c r="A663" s="25"/>
    </row>
    <row r="664" spans="1:1" x14ac:dyDescent="0.25">
      <c r="A664" s="26"/>
    </row>
    <row r="665" spans="1:1" x14ac:dyDescent="0.25">
      <c r="A665" s="26"/>
    </row>
    <row r="666" spans="1:1" x14ac:dyDescent="0.25">
      <c r="A666" s="26"/>
    </row>
    <row r="667" spans="1:1" x14ac:dyDescent="0.25">
      <c r="A667" s="25"/>
    </row>
    <row r="668" spans="1:1" x14ac:dyDescent="0.25">
      <c r="A668" s="25"/>
    </row>
    <row r="669" spans="1:1" x14ac:dyDescent="0.25">
      <c r="A669" s="25"/>
    </row>
    <row r="670" spans="1:1" x14ac:dyDescent="0.25">
      <c r="A670" s="26"/>
    </row>
    <row r="671" spans="1:1" x14ac:dyDescent="0.25">
      <c r="A671" s="25"/>
    </row>
    <row r="672" spans="1:1" x14ac:dyDescent="0.25">
      <c r="A672" s="25"/>
    </row>
    <row r="673" spans="1:1" x14ac:dyDescent="0.25">
      <c r="A673" s="25"/>
    </row>
    <row r="674" spans="1:1" x14ac:dyDescent="0.25">
      <c r="A674" s="26"/>
    </row>
    <row r="675" spans="1:1" x14ac:dyDescent="0.25">
      <c r="A675" s="25"/>
    </row>
    <row r="676" spans="1:1" x14ac:dyDescent="0.25">
      <c r="A676" s="26"/>
    </row>
    <row r="677" spans="1:1" x14ac:dyDescent="0.25">
      <c r="A677" s="25"/>
    </row>
    <row r="678" spans="1:1" x14ac:dyDescent="0.25">
      <c r="A678" s="25"/>
    </row>
    <row r="679" spans="1:1" x14ac:dyDescent="0.25">
      <c r="A679" s="25"/>
    </row>
    <row r="680" spans="1:1" x14ac:dyDescent="0.25">
      <c r="A680" s="26"/>
    </row>
    <row r="681" spans="1:1" x14ac:dyDescent="0.25">
      <c r="A681" s="26"/>
    </row>
    <row r="682" spans="1:1" x14ac:dyDescent="0.25">
      <c r="A682" s="25"/>
    </row>
    <row r="683" spans="1:1" x14ac:dyDescent="0.25">
      <c r="A683" s="25"/>
    </row>
    <row r="684" spans="1:1" ht="26.25" x14ac:dyDescent="0.25">
      <c r="A684" s="24"/>
    </row>
    <row r="685" spans="1:1" x14ac:dyDescent="0.25">
      <c r="A685" s="25"/>
    </row>
    <row r="686" spans="1:1" x14ac:dyDescent="0.25">
      <c r="A686" s="25"/>
    </row>
    <row r="687" spans="1:1" x14ac:dyDescent="0.25">
      <c r="A687" s="25"/>
    </row>
    <row r="688" spans="1:1" ht="15.75" x14ac:dyDescent="0.25">
      <c r="A688" s="27"/>
    </row>
    <row r="689" spans="1:1" ht="15.75" x14ac:dyDescent="0.25">
      <c r="A689" s="27"/>
    </row>
    <row r="690" spans="1:1" x14ac:dyDescent="0.25">
      <c r="A690" s="25"/>
    </row>
    <row r="691" spans="1:1" x14ac:dyDescent="0.25">
      <c r="A691" s="25"/>
    </row>
    <row r="692" spans="1:1" x14ac:dyDescent="0.25">
      <c r="A692" s="25"/>
    </row>
    <row r="693" spans="1:1" x14ac:dyDescent="0.25">
      <c r="A693" s="25"/>
    </row>
    <row r="694" spans="1:1" x14ac:dyDescent="0.25">
      <c r="A694" s="25"/>
    </row>
    <row r="695" spans="1:1" x14ac:dyDescent="0.25">
      <c r="A695" s="25"/>
    </row>
    <row r="696" spans="1:1" x14ac:dyDescent="0.25">
      <c r="A696" s="26"/>
    </row>
    <row r="697" spans="1:1" x14ac:dyDescent="0.25">
      <c r="A697" s="26"/>
    </row>
    <row r="698" spans="1:1" x14ac:dyDescent="0.25">
      <c r="A698" s="25"/>
    </row>
    <row r="699" spans="1:1" x14ac:dyDescent="0.25">
      <c r="A699" s="26"/>
    </row>
    <row r="700" spans="1:1" x14ac:dyDescent="0.25">
      <c r="A700" s="25"/>
    </row>
    <row r="701" spans="1:1" x14ac:dyDescent="0.25">
      <c r="A701" s="26"/>
    </row>
    <row r="702" spans="1:1" x14ac:dyDescent="0.25">
      <c r="A702" s="25"/>
    </row>
    <row r="703" spans="1:1" x14ac:dyDescent="0.25">
      <c r="A703" s="25"/>
    </row>
    <row r="704" spans="1:1" x14ac:dyDescent="0.25">
      <c r="A704" s="25"/>
    </row>
    <row r="705" spans="1:1" x14ac:dyDescent="0.25">
      <c r="A705" s="26"/>
    </row>
    <row r="706" spans="1:1" x14ac:dyDescent="0.25">
      <c r="A706" s="25"/>
    </row>
    <row r="707" spans="1:1" x14ac:dyDescent="0.25">
      <c r="A707" s="25"/>
    </row>
    <row r="708" spans="1:1" x14ac:dyDescent="0.25">
      <c r="A708" s="25"/>
    </row>
    <row r="709" spans="1:1" x14ac:dyDescent="0.25">
      <c r="A709" s="25"/>
    </row>
    <row r="710" spans="1:1" x14ac:dyDescent="0.25">
      <c r="A710" s="26"/>
    </row>
    <row r="711" spans="1:1" x14ac:dyDescent="0.25">
      <c r="A711" s="26"/>
    </row>
    <row r="712" spans="1:1" x14ac:dyDescent="0.25">
      <c r="A712" s="26"/>
    </row>
    <row r="713" spans="1:1" x14ac:dyDescent="0.25">
      <c r="A713" s="25"/>
    </row>
    <row r="714" spans="1:1" ht="26.25" x14ac:dyDescent="0.25">
      <c r="A714" s="24"/>
    </row>
    <row r="715" spans="1:1" x14ac:dyDescent="0.25">
      <c r="A715" s="25"/>
    </row>
    <row r="716" spans="1:1" ht="26.25" x14ac:dyDescent="0.25">
      <c r="A716" s="24"/>
    </row>
    <row r="717" spans="1:1" x14ac:dyDescent="0.25">
      <c r="A717" s="25"/>
    </row>
    <row r="718" spans="1:1" ht="15.75" x14ac:dyDescent="0.25">
      <c r="A718" s="8"/>
    </row>
    <row r="719" spans="1:1" ht="15.75" x14ac:dyDescent="0.25">
      <c r="A719" s="8"/>
    </row>
    <row r="720" spans="1:1" ht="15.75" x14ac:dyDescent="0.25">
      <c r="A720" s="8"/>
    </row>
    <row r="721" spans="1:1" ht="15.75" x14ac:dyDescent="0.25">
      <c r="A721" s="6"/>
    </row>
    <row r="722" spans="1:1" ht="15.75" x14ac:dyDescent="0.25">
      <c r="A722" s="6"/>
    </row>
    <row r="723" spans="1:1" ht="15.75" x14ac:dyDescent="0.25">
      <c r="A723" s="10"/>
    </row>
    <row r="724" spans="1:1" ht="15.75" x14ac:dyDescent="0.25">
      <c r="A724" s="10"/>
    </row>
    <row r="725" spans="1:1" ht="15.75" x14ac:dyDescent="0.25">
      <c r="A725" s="10"/>
    </row>
    <row r="726" spans="1:1" ht="15.75" x14ac:dyDescent="0.25">
      <c r="A726" s="10"/>
    </row>
    <row r="727" spans="1:1" ht="15.75" x14ac:dyDescent="0.25">
      <c r="A727" s="10"/>
    </row>
    <row r="728" spans="1:1" ht="15.75" x14ac:dyDescent="0.25">
      <c r="A728" s="10"/>
    </row>
    <row r="729" spans="1:1" ht="15.75" x14ac:dyDescent="0.25">
      <c r="A729" s="10"/>
    </row>
    <row r="730" spans="1:1" ht="15.75" x14ac:dyDescent="0.25">
      <c r="A730" s="10"/>
    </row>
    <row r="731" spans="1:1" ht="15.75" x14ac:dyDescent="0.25">
      <c r="A731" s="10"/>
    </row>
    <row r="732" spans="1:1" ht="15.75" x14ac:dyDescent="0.25">
      <c r="A732" s="8"/>
    </row>
    <row r="733" spans="1:1" ht="15.75" x14ac:dyDescent="0.25">
      <c r="A733" s="8"/>
    </row>
    <row r="734" spans="1:1" ht="15.75" x14ac:dyDescent="0.25">
      <c r="A734" s="8"/>
    </row>
    <row r="735" spans="1:1" ht="15.75" x14ac:dyDescent="0.25">
      <c r="A735" s="8"/>
    </row>
    <row r="736" spans="1:1" ht="15.75" x14ac:dyDescent="0.25">
      <c r="A736" s="8"/>
    </row>
    <row r="737" spans="1:1" ht="15.75" x14ac:dyDescent="0.25">
      <c r="A737" s="8"/>
    </row>
    <row r="738" spans="1:1" ht="15.75" x14ac:dyDescent="0.25">
      <c r="A738" s="7"/>
    </row>
    <row r="739" spans="1:1" ht="21" x14ac:dyDescent="0.25">
      <c r="A739" s="9"/>
    </row>
    <row r="740" spans="1:1" ht="15.75" x14ac:dyDescent="0.25">
      <c r="A740" s="11"/>
    </row>
    <row r="741" spans="1:1" ht="15.75" x14ac:dyDescent="0.25">
      <c r="A741" s="11"/>
    </row>
    <row r="742" spans="1:1" ht="15.75" x14ac:dyDescent="0.25">
      <c r="A742" s="12"/>
    </row>
    <row r="743" spans="1:1" ht="15.75" x14ac:dyDescent="0.25">
      <c r="A743" s="12"/>
    </row>
    <row r="744" spans="1:1" ht="15.75" x14ac:dyDescent="0.25">
      <c r="A744" s="12"/>
    </row>
    <row r="745" spans="1:1" ht="15.75" x14ac:dyDescent="0.25">
      <c r="A745" s="12"/>
    </row>
    <row r="746" spans="1:1" ht="15.75" x14ac:dyDescent="0.25">
      <c r="A746" s="10"/>
    </row>
    <row r="747" spans="1:1" ht="15.75" x14ac:dyDescent="0.25">
      <c r="A747" s="10"/>
    </row>
    <row r="748" spans="1:1" ht="15.75" x14ac:dyDescent="0.25">
      <c r="A748" s="10"/>
    </row>
    <row r="749" spans="1:1" ht="15.75" x14ac:dyDescent="0.25">
      <c r="A749" s="10"/>
    </row>
    <row r="750" spans="1:1" ht="15.75" x14ac:dyDescent="0.25">
      <c r="A750" s="10"/>
    </row>
    <row r="751" spans="1:1" ht="15.75" x14ac:dyDescent="0.25">
      <c r="A751" s="10"/>
    </row>
    <row r="752" spans="1:1" ht="15.75" x14ac:dyDescent="0.25">
      <c r="A752" s="10"/>
    </row>
    <row r="753" spans="1:1" ht="15.75" x14ac:dyDescent="0.25">
      <c r="A753" s="12"/>
    </row>
    <row r="754" spans="1:1" ht="15.75" x14ac:dyDescent="0.25">
      <c r="A754" s="10"/>
    </row>
    <row r="755" spans="1:1" ht="15.75" x14ac:dyDescent="0.25">
      <c r="A755" s="10"/>
    </row>
    <row r="756" spans="1:1" ht="15.75" x14ac:dyDescent="0.25">
      <c r="A756" s="10"/>
    </row>
    <row r="757" spans="1:1" ht="15.75" x14ac:dyDescent="0.25">
      <c r="A757" s="10"/>
    </row>
    <row r="758" spans="1:1" ht="15.75" x14ac:dyDescent="0.25">
      <c r="A758" s="10"/>
    </row>
    <row r="759" spans="1:1" ht="15.75" x14ac:dyDescent="0.25">
      <c r="A759" s="10"/>
    </row>
    <row r="760" spans="1:1" ht="15.75" x14ac:dyDescent="0.25">
      <c r="A760" s="10"/>
    </row>
    <row r="761" spans="1:1" ht="15.75" x14ac:dyDescent="0.25">
      <c r="A761" s="12"/>
    </row>
    <row r="762" spans="1:1" ht="15.75" x14ac:dyDescent="0.25">
      <c r="A762" s="10"/>
    </row>
    <row r="763" spans="1:1" ht="15.75" x14ac:dyDescent="0.25">
      <c r="A763" s="10"/>
    </row>
    <row r="764" spans="1:1" ht="15.75" x14ac:dyDescent="0.25">
      <c r="A764" s="10"/>
    </row>
    <row r="765" spans="1:1" ht="15.75" x14ac:dyDescent="0.25">
      <c r="A765" s="10"/>
    </row>
    <row r="766" spans="1:1" ht="15.75" x14ac:dyDescent="0.25">
      <c r="A766" s="10"/>
    </row>
    <row r="767" spans="1:1" ht="15.75" x14ac:dyDescent="0.25">
      <c r="A767" s="10"/>
    </row>
    <row r="768" spans="1:1" ht="15.75" x14ac:dyDescent="0.25">
      <c r="A768" s="11"/>
    </row>
    <row r="769" spans="1:1" ht="15.75" x14ac:dyDescent="0.25">
      <c r="A769" s="12"/>
    </row>
    <row r="770" spans="1:1" ht="15.75" x14ac:dyDescent="0.25">
      <c r="A770" s="10"/>
    </row>
    <row r="771" spans="1:1" ht="15.75" x14ac:dyDescent="0.25">
      <c r="A771" s="10"/>
    </row>
    <row r="772" spans="1:1" ht="15.75" x14ac:dyDescent="0.25">
      <c r="A772" s="8"/>
    </row>
    <row r="773" spans="1:1" ht="15.75" x14ac:dyDescent="0.25">
      <c r="A773" s="8"/>
    </row>
    <row r="774" spans="1:1" ht="15.75" x14ac:dyDescent="0.25">
      <c r="A774" s="8"/>
    </row>
    <row r="775" spans="1:1" ht="15.75" x14ac:dyDescent="0.25">
      <c r="A775" s="8"/>
    </row>
    <row r="776" spans="1:1" ht="15.75" x14ac:dyDescent="0.25">
      <c r="A776" s="10"/>
    </row>
    <row r="777" spans="1:1" ht="15.75" x14ac:dyDescent="0.25">
      <c r="A777" s="10"/>
    </row>
    <row r="778" spans="1:1" ht="15.75" x14ac:dyDescent="0.25">
      <c r="A778" s="10"/>
    </row>
    <row r="779" spans="1:1" ht="15.75" x14ac:dyDescent="0.25">
      <c r="A779" s="10"/>
    </row>
    <row r="780" spans="1:1" ht="15.75" x14ac:dyDescent="0.25">
      <c r="A780" s="8"/>
    </row>
    <row r="781" spans="1:1" ht="15.75" x14ac:dyDescent="0.25">
      <c r="A781" s="8"/>
    </row>
    <row r="782" spans="1:1" ht="15.75" x14ac:dyDescent="0.25">
      <c r="A782" s="8"/>
    </row>
    <row r="783" spans="1:1" ht="15.75" x14ac:dyDescent="0.25">
      <c r="A783" s="8"/>
    </row>
    <row r="784" spans="1:1" ht="15.75" x14ac:dyDescent="0.25">
      <c r="A784" s="10"/>
    </row>
    <row r="785" spans="1:1" ht="15.75" x14ac:dyDescent="0.25">
      <c r="A785" s="10"/>
    </row>
    <row r="786" spans="1:1" ht="15.75" x14ac:dyDescent="0.25">
      <c r="A786" s="10"/>
    </row>
    <row r="787" spans="1:1" ht="15.75" x14ac:dyDescent="0.25">
      <c r="A787" s="11"/>
    </row>
    <row r="788" spans="1:1" ht="15.75" x14ac:dyDescent="0.25">
      <c r="A788" s="12"/>
    </row>
    <row r="789" spans="1:1" ht="15.75" x14ac:dyDescent="0.25">
      <c r="A789" s="12"/>
    </row>
    <row r="790" spans="1:1" ht="15.75" x14ac:dyDescent="0.25">
      <c r="A790" s="8"/>
    </row>
    <row r="791" spans="1:1" ht="15.75" x14ac:dyDescent="0.25">
      <c r="A791" s="8"/>
    </row>
    <row r="792" spans="1:1" ht="15.75" x14ac:dyDescent="0.25">
      <c r="A792" s="8"/>
    </row>
    <row r="793" spans="1:1" ht="15.75" x14ac:dyDescent="0.25">
      <c r="A793" s="8"/>
    </row>
    <row r="794" spans="1:1" ht="15.75" x14ac:dyDescent="0.25">
      <c r="A794" s="12"/>
    </row>
    <row r="795" spans="1:1" ht="15.75" x14ac:dyDescent="0.25">
      <c r="A795" s="12"/>
    </row>
    <row r="796" spans="1:1" ht="15.75" x14ac:dyDescent="0.25">
      <c r="A796" s="12"/>
    </row>
    <row r="797" spans="1:1" ht="15.75" x14ac:dyDescent="0.25">
      <c r="A797" s="10"/>
    </row>
    <row r="798" spans="1:1" ht="15.75" x14ac:dyDescent="0.25">
      <c r="A798" s="10"/>
    </row>
    <row r="799" spans="1:1" ht="15.75" x14ac:dyDescent="0.25">
      <c r="A799" s="10"/>
    </row>
    <row r="800" spans="1:1" ht="15.75" x14ac:dyDescent="0.25">
      <c r="A800" s="12"/>
    </row>
    <row r="801" spans="1:1" ht="15.75" x14ac:dyDescent="0.25">
      <c r="A801" s="13"/>
    </row>
    <row r="802" spans="1:1" ht="21" x14ac:dyDescent="0.25">
      <c r="A802" s="9"/>
    </row>
    <row r="803" spans="1:1" ht="15.75" x14ac:dyDescent="0.25">
      <c r="A803" s="12"/>
    </row>
    <row r="804" spans="1:1" ht="15.75" x14ac:dyDescent="0.25">
      <c r="A804" s="12"/>
    </row>
    <row r="805" spans="1:1" ht="15.75" x14ac:dyDescent="0.25">
      <c r="A805" s="12"/>
    </row>
    <row r="806" spans="1:1" ht="15.75" x14ac:dyDescent="0.25">
      <c r="A806" s="6"/>
    </row>
    <row r="807" spans="1:1" ht="15.75" x14ac:dyDescent="0.25">
      <c r="A807" s="8"/>
    </row>
    <row r="808" spans="1:1" ht="15.75" x14ac:dyDescent="0.25">
      <c r="A808" s="8"/>
    </row>
    <row r="809" spans="1:1" ht="15.75" x14ac:dyDescent="0.25">
      <c r="A809" s="8"/>
    </row>
    <row r="810" spans="1:1" ht="15.75" x14ac:dyDescent="0.25">
      <c r="A810" s="8"/>
    </row>
    <row r="811" spans="1:1" ht="15.75" x14ac:dyDescent="0.25">
      <c r="A811" s="8"/>
    </row>
    <row r="812" spans="1:1" ht="15.75" x14ac:dyDescent="0.25">
      <c r="A812" s="8"/>
    </row>
    <row r="813" spans="1:1" ht="15.75" x14ac:dyDescent="0.25">
      <c r="A813" s="8"/>
    </row>
    <row r="814" spans="1:1" ht="15.75" x14ac:dyDescent="0.25">
      <c r="A814" s="8"/>
    </row>
    <row r="815" spans="1:1" ht="15.75" x14ac:dyDescent="0.25">
      <c r="A815" s="6"/>
    </row>
    <row r="816" spans="1:1" ht="15.75" x14ac:dyDescent="0.25">
      <c r="A816" s="8"/>
    </row>
    <row r="817" spans="1:1" ht="15.75" x14ac:dyDescent="0.25">
      <c r="A817" s="8"/>
    </row>
    <row r="818" spans="1:1" ht="15.75" x14ac:dyDescent="0.25">
      <c r="A818" s="8"/>
    </row>
    <row r="819" spans="1:1" ht="15.75" x14ac:dyDescent="0.25">
      <c r="A819" s="8"/>
    </row>
    <row r="820" spans="1:1" ht="15.75" x14ac:dyDescent="0.25">
      <c r="A820" s="6"/>
    </row>
    <row r="821" spans="1:1" ht="15.75" x14ac:dyDescent="0.25">
      <c r="A821" s="8"/>
    </row>
    <row r="822" spans="1:1" ht="15.75" x14ac:dyDescent="0.25">
      <c r="A822" s="8"/>
    </row>
    <row r="823" spans="1:1" ht="15.75" x14ac:dyDescent="0.25">
      <c r="A823" s="8"/>
    </row>
    <row r="824" spans="1:1" ht="15.75" x14ac:dyDescent="0.25">
      <c r="A824" s="8"/>
    </row>
    <row r="825" spans="1:1" ht="15.75" x14ac:dyDescent="0.25">
      <c r="A825" s="8"/>
    </row>
    <row r="826" spans="1:1" ht="15.75" x14ac:dyDescent="0.25">
      <c r="A826" s="8"/>
    </row>
    <row r="827" spans="1:1" ht="15.75" x14ac:dyDescent="0.25">
      <c r="A827" s="8"/>
    </row>
    <row r="828" spans="1:1" ht="15.75" x14ac:dyDescent="0.25">
      <c r="A828" s="8"/>
    </row>
    <row r="829" spans="1:1" ht="15.75" x14ac:dyDescent="0.25">
      <c r="A829" s="8"/>
    </row>
    <row r="830" spans="1:1" ht="15.75" x14ac:dyDescent="0.25">
      <c r="A830" s="8"/>
    </row>
    <row r="831" spans="1:1" ht="15.75" x14ac:dyDescent="0.25">
      <c r="A831" s="8"/>
    </row>
    <row r="832" spans="1:1" ht="15.75" x14ac:dyDescent="0.25">
      <c r="A832" s="8"/>
    </row>
    <row r="833" spans="1:1" ht="15.75" x14ac:dyDescent="0.25">
      <c r="A833" s="8"/>
    </row>
    <row r="834" spans="1:1" ht="15.75" x14ac:dyDescent="0.25">
      <c r="A834" s="8"/>
    </row>
    <row r="835" spans="1:1" ht="15.75" x14ac:dyDescent="0.25">
      <c r="A835" s="8"/>
    </row>
    <row r="836" spans="1:1" ht="15.75" x14ac:dyDescent="0.25">
      <c r="A836" s="8"/>
    </row>
    <row r="837" spans="1:1" ht="15.75" x14ac:dyDescent="0.25">
      <c r="A837" s="8"/>
    </row>
    <row r="838" spans="1:1" ht="15.75" x14ac:dyDescent="0.25">
      <c r="A838" s="8"/>
    </row>
    <row r="839" spans="1:1" ht="15.75" x14ac:dyDescent="0.25">
      <c r="A839" s="8"/>
    </row>
    <row r="840" spans="1:1" ht="15.75" x14ac:dyDescent="0.25">
      <c r="A840" s="8"/>
    </row>
    <row r="841" spans="1:1" ht="15.75" x14ac:dyDescent="0.25">
      <c r="A841" s="8"/>
    </row>
    <row r="842" spans="1:1" ht="15.75" x14ac:dyDescent="0.25">
      <c r="A842" s="8"/>
    </row>
    <row r="843" spans="1:1" ht="15.75" x14ac:dyDescent="0.25">
      <c r="A843" s="8"/>
    </row>
    <row r="844" spans="1:1" ht="15.75" x14ac:dyDescent="0.25">
      <c r="A844" s="8"/>
    </row>
    <row r="845" spans="1:1" ht="15.75" x14ac:dyDescent="0.25">
      <c r="A845" s="8"/>
    </row>
    <row r="846" spans="1:1" ht="15.75" x14ac:dyDescent="0.25">
      <c r="A846" s="8"/>
    </row>
    <row r="847" spans="1:1" ht="15.75" x14ac:dyDescent="0.25">
      <c r="A847" s="8"/>
    </row>
    <row r="848" spans="1:1" ht="15.75" x14ac:dyDescent="0.25">
      <c r="A848" s="8"/>
    </row>
    <row r="849" spans="1:1" ht="15.75" x14ac:dyDescent="0.25">
      <c r="A849" s="8"/>
    </row>
    <row r="850" spans="1:1" ht="15.75" x14ac:dyDescent="0.25">
      <c r="A850" s="8"/>
    </row>
    <row r="851" spans="1:1" ht="15.75" x14ac:dyDescent="0.25">
      <c r="A851" s="8"/>
    </row>
    <row r="852" spans="1:1" ht="15.75" x14ac:dyDescent="0.25">
      <c r="A852" s="8"/>
    </row>
    <row r="853" spans="1:1" ht="15.75" x14ac:dyDescent="0.25">
      <c r="A853" s="8"/>
    </row>
    <row r="854" spans="1:1" ht="15.75" x14ac:dyDescent="0.25">
      <c r="A854" s="8"/>
    </row>
    <row r="855" spans="1:1" ht="15.75" x14ac:dyDescent="0.25">
      <c r="A855" s="8"/>
    </row>
    <row r="856" spans="1:1" ht="15.75" x14ac:dyDescent="0.25">
      <c r="A856" s="10"/>
    </row>
    <row r="857" spans="1:1" ht="15.75" x14ac:dyDescent="0.25">
      <c r="A857" s="8"/>
    </row>
    <row r="858" spans="1:1" ht="15.75" x14ac:dyDescent="0.25">
      <c r="A858" s="8"/>
    </row>
    <row r="859" spans="1:1" ht="15.75" x14ac:dyDescent="0.25">
      <c r="A859" s="8"/>
    </row>
    <row r="860" spans="1:1" ht="15.75" x14ac:dyDescent="0.25">
      <c r="A860" s="8"/>
    </row>
    <row r="861" spans="1:1" ht="15.75" x14ac:dyDescent="0.25">
      <c r="A861" s="8"/>
    </row>
    <row r="862" spans="1:1" ht="15.75" x14ac:dyDescent="0.25">
      <c r="A862" s="8"/>
    </row>
    <row r="863" spans="1:1" ht="15.75" x14ac:dyDescent="0.25">
      <c r="A863" s="8"/>
    </row>
    <row r="864" spans="1:1" ht="15.75" x14ac:dyDescent="0.25">
      <c r="A864" s="8"/>
    </row>
    <row r="865" spans="1:1" ht="15.75" x14ac:dyDescent="0.25">
      <c r="A865" s="8"/>
    </row>
    <row r="866" spans="1:1" ht="15.75" x14ac:dyDescent="0.25">
      <c r="A866" s="8"/>
    </row>
    <row r="867" spans="1:1" ht="15.75" x14ac:dyDescent="0.25">
      <c r="A867" s="8"/>
    </row>
    <row r="868" spans="1:1" ht="15.75" x14ac:dyDescent="0.25">
      <c r="A868" s="8"/>
    </row>
    <row r="869" spans="1:1" ht="15.75" x14ac:dyDescent="0.25">
      <c r="A869" s="8"/>
    </row>
    <row r="870" spans="1:1" ht="15.75" x14ac:dyDescent="0.25">
      <c r="A870" s="8"/>
    </row>
    <row r="871" spans="1:1" ht="15.75" x14ac:dyDescent="0.25">
      <c r="A871" s="8"/>
    </row>
    <row r="872" spans="1:1" ht="15.75" x14ac:dyDescent="0.25">
      <c r="A872" s="8"/>
    </row>
    <row r="873" spans="1:1" ht="15.75" x14ac:dyDescent="0.25">
      <c r="A873" s="8"/>
    </row>
    <row r="874" spans="1:1" ht="15.75" x14ac:dyDescent="0.25">
      <c r="A874" s="8"/>
    </row>
    <row r="875" spans="1:1" ht="15.75" x14ac:dyDescent="0.25">
      <c r="A875" s="8"/>
    </row>
    <row r="876" spans="1:1" ht="15.75" x14ac:dyDescent="0.25">
      <c r="A876" s="8"/>
    </row>
    <row r="877" spans="1:1" ht="15.75" x14ac:dyDescent="0.25">
      <c r="A877" s="8"/>
    </row>
    <row r="878" spans="1:1" ht="15.75" x14ac:dyDescent="0.25">
      <c r="A878" s="8"/>
    </row>
    <row r="879" spans="1:1" ht="15.75" x14ac:dyDescent="0.25">
      <c r="A879" s="8"/>
    </row>
    <row r="880" spans="1:1" ht="15.75" x14ac:dyDescent="0.25">
      <c r="A880" s="8"/>
    </row>
    <row r="881" spans="1:1" ht="15.75" x14ac:dyDescent="0.25">
      <c r="A881" s="8"/>
    </row>
    <row r="882" spans="1:1" ht="15.75" x14ac:dyDescent="0.25">
      <c r="A882" s="8"/>
    </row>
    <row r="883" spans="1:1" ht="15.75" x14ac:dyDescent="0.25">
      <c r="A883" s="8"/>
    </row>
    <row r="884" spans="1:1" ht="15.75" x14ac:dyDescent="0.25">
      <c r="A884" s="8"/>
    </row>
    <row r="885" spans="1:1" ht="15.75" x14ac:dyDescent="0.25">
      <c r="A885" s="8"/>
    </row>
    <row r="886" spans="1:1" ht="15.75" x14ac:dyDescent="0.25">
      <c r="A886" s="8"/>
    </row>
    <row r="887" spans="1:1" ht="15.75" x14ac:dyDescent="0.25">
      <c r="A887" s="14"/>
    </row>
    <row r="888" spans="1:1" ht="21" x14ac:dyDescent="0.25">
      <c r="A888" s="9"/>
    </row>
    <row r="889" spans="1:1" ht="15.75" x14ac:dyDescent="0.25">
      <c r="A889" s="11"/>
    </row>
    <row r="890" spans="1:1" ht="15.75" x14ac:dyDescent="0.25">
      <c r="A890" s="11"/>
    </row>
    <row r="891" spans="1:1" ht="15.75" x14ac:dyDescent="0.25">
      <c r="A891" s="6"/>
    </row>
    <row r="892" spans="1:1" ht="15.75" x14ac:dyDescent="0.25">
      <c r="A892" s="8"/>
    </row>
    <row r="893" spans="1:1" ht="15.75" x14ac:dyDescent="0.25">
      <c r="A893" s="8"/>
    </row>
    <row r="894" spans="1:1" ht="15.75" x14ac:dyDescent="0.25">
      <c r="A894" s="8"/>
    </row>
    <row r="895" spans="1:1" ht="15.75" x14ac:dyDescent="0.25">
      <c r="A895" s="8"/>
    </row>
    <row r="896" spans="1:1" ht="15.75" x14ac:dyDescent="0.25">
      <c r="A896" s="12"/>
    </row>
    <row r="897" spans="1:1" ht="15.75" x14ac:dyDescent="0.25">
      <c r="A897" s="12"/>
    </row>
    <row r="898" spans="1:1" ht="15.75" x14ac:dyDescent="0.25">
      <c r="A898" s="12"/>
    </row>
    <row r="899" spans="1:1" ht="15.75" x14ac:dyDescent="0.25">
      <c r="A899" s="12"/>
    </row>
    <row r="900" spans="1:1" ht="15.75" x14ac:dyDescent="0.25">
      <c r="A900" s="12"/>
    </row>
    <row r="901" spans="1:1" ht="15.75" x14ac:dyDescent="0.25">
      <c r="A901" s="10"/>
    </row>
    <row r="902" spans="1:1" ht="15.75" x14ac:dyDescent="0.25">
      <c r="A902" s="10"/>
    </row>
    <row r="903" spans="1:1" ht="15.75" x14ac:dyDescent="0.25">
      <c r="A903" s="10"/>
    </row>
    <row r="904" spans="1:1" ht="15.75" x14ac:dyDescent="0.25">
      <c r="A904" s="10"/>
    </row>
    <row r="905" spans="1:1" ht="15.75" x14ac:dyDescent="0.25">
      <c r="A905" s="10"/>
    </row>
    <row r="906" spans="1:1" ht="15.75" x14ac:dyDescent="0.25">
      <c r="A906" s="10"/>
    </row>
    <row r="907" spans="1:1" ht="15.75" x14ac:dyDescent="0.25">
      <c r="A907" s="10"/>
    </row>
    <row r="908" spans="1:1" ht="15.75" x14ac:dyDescent="0.25">
      <c r="A908" s="10"/>
    </row>
    <row r="909" spans="1:1" ht="15.75" x14ac:dyDescent="0.25">
      <c r="A909" s="10"/>
    </row>
    <row r="910" spans="1:1" ht="15.75" x14ac:dyDescent="0.25">
      <c r="A910" s="10"/>
    </row>
    <row r="911" spans="1:1" ht="15.75" x14ac:dyDescent="0.25">
      <c r="A911" s="10"/>
    </row>
    <row r="912" spans="1:1" ht="15.75" x14ac:dyDescent="0.25">
      <c r="A912" s="10"/>
    </row>
    <row r="913" spans="1:1" ht="15.75" x14ac:dyDescent="0.25">
      <c r="A913" s="10"/>
    </row>
    <row r="914" spans="1:1" ht="15.75" x14ac:dyDescent="0.25">
      <c r="A914" s="10"/>
    </row>
    <row r="915" spans="1:1" ht="15.75" x14ac:dyDescent="0.25">
      <c r="A915" s="12"/>
    </row>
    <row r="916" spans="1:1" ht="15.75" x14ac:dyDescent="0.25">
      <c r="A916" s="10"/>
    </row>
    <row r="917" spans="1:1" ht="15.75" x14ac:dyDescent="0.25">
      <c r="A917" s="10"/>
    </row>
    <row r="918" spans="1:1" ht="15.75" x14ac:dyDescent="0.25">
      <c r="A918" s="8"/>
    </row>
    <row r="919" spans="1:1" ht="15.75" x14ac:dyDescent="0.25">
      <c r="A919" s="8"/>
    </row>
    <row r="920" spans="1:1" ht="15.75" x14ac:dyDescent="0.25">
      <c r="A920" s="8"/>
    </row>
    <row r="921" spans="1:1" ht="15.75" x14ac:dyDescent="0.25">
      <c r="A921" s="8"/>
    </row>
    <row r="922" spans="1:1" ht="15.75" x14ac:dyDescent="0.25">
      <c r="A922" s="12"/>
    </row>
    <row r="923" spans="1:1" ht="15.75" x14ac:dyDescent="0.25">
      <c r="A923" s="11"/>
    </row>
    <row r="924" spans="1:1" ht="15.75" x14ac:dyDescent="0.25">
      <c r="A924" s="12"/>
    </row>
    <row r="925" spans="1:1" ht="15.75" x14ac:dyDescent="0.25">
      <c r="A925" s="12"/>
    </row>
    <row r="926" spans="1:1" ht="15.75" x14ac:dyDescent="0.25">
      <c r="A926" s="15"/>
    </row>
    <row r="927" spans="1:1" ht="21" x14ac:dyDescent="0.25">
      <c r="A927" s="17"/>
    </row>
    <row r="928" spans="1:1" ht="21" x14ac:dyDescent="0.25">
      <c r="A928" s="9"/>
    </row>
    <row r="929" spans="1:1" ht="15.75" x14ac:dyDescent="0.25">
      <c r="A929" s="11"/>
    </row>
    <row r="930" spans="1:1" ht="15.75" x14ac:dyDescent="0.25">
      <c r="A930" s="11"/>
    </row>
    <row r="931" spans="1:1" ht="15.75" x14ac:dyDescent="0.25">
      <c r="A931" s="6"/>
    </row>
    <row r="932" spans="1:1" ht="15.75" x14ac:dyDescent="0.25">
      <c r="A932" s="8"/>
    </row>
    <row r="933" spans="1:1" ht="15.75" x14ac:dyDescent="0.25">
      <c r="A933" s="8"/>
    </row>
    <row r="934" spans="1:1" ht="15.75" x14ac:dyDescent="0.25">
      <c r="A934" s="8"/>
    </row>
    <row r="935" spans="1:1" ht="15.75" x14ac:dyDescent="0.25">
      <c r="A935" s="6"/>
    </row>
    <row r="936" spans="1:1" ht="15.75" x14ac:dyDescent="0.25">
      <c r="A936" s="6"/>
    </row>
    <row r="937" spans="1:1" ht="15.75" x14ac:dyDescent="0.25">
      <c r="A937" s="12"/>
    </row>
    <row r="938" spans="1:1" ht="15.75" x14ac:dyDescent="0.25">
      <c r="A938" s="12"/>
    </row>
    <row r="939" spans="1:1" ht="15.75" x14ac:dyDescent="0.25">
      <c r="A939" s="12"/>
    </row>
    <row r="940" spans="1:1" ht="15.75" x14ac:dyDescent="0.25">
      <c r="A940" s="8"/>
    </row>
    <row r="941" spans="1:1" ht="15.75" x14ac:dyDescent="0.25">
      <c r="A941" s="8"/>
    </row>
    <row r="942" spans="1:1" ht="15.75" x14ac:dyDescent="0.25">
      <c r="A942" s="8"/>
    </row>
    <row r="943" spans="1:1" ht="15.75" x14ac:dyDescent="0.25">
      <c r="A943" s="8"/>
    </row>
    <row r="944" spans="1:1" ht="15.75" x14ac:dyDescent="0.25">
      <c r="A944" s="6"/>
    </row>
    <row r="945" spans="1:1" ht="15.75" x14ac:dyDescent="0.25">
      <c r="A945" s="6"/>
    </row>
    <row r="946" spans="1:1" ht="15.75" x14ac:dyDescent="0.25">
      <c r="A946" s="6"/>
    </row>
    <row r="947" spans="1:1" ht="15.75" x14ac:dyDescent="0.25">
      <c r="A947" s="6"/>
    </row>
    <row r="948" spans="1:1" ht="15.75" x14ac:dyDescent="0.25">
      <c r="A948" s="11"/>
    </row>
    <row r="949" spans="1:1" ht="15.75" x14ac:dyDescent="0.25">
      <c r="A949" s="12"/>
    </row>
    <row r="950" spans="1:1" ht="15.75" x14ac:dyDescent="0.25">
      <c r="A950" s="10"/>
    </row>
    <row r="951" spans="1:1" ht="15.75" x14ac:dyDescent="0.25">
      <c r="A951" s="10"/>
    </row>
    <row r="952" spans="1:1" ht="15.75" x14ac:dyDescent="0.25">
      <c r="A952" s="10"/>
    </row>
    <row r="953" spans="1:1" ht="15.75" x14ac:dyDescent="0.25">
      <c r="A953" s="10"/>
    </row>
    <row r="954" spans="1:1" ht="15.75" x14ac:dyDescent="0.25">
      <c r="A954" s="10"/>
    </row>
    <row r="955" spans="1:1" ht="15.75" x14ac:dyDescent="0.25">
      <c r="A955" s="10"/>
    </row>
    <row r="956" spans="1:1" ht="15.75" x14ac:dyDescent="0.25">
      <c r="A956" s="10"/>
    </row>
    <row r="957" spans="1:1" ht="15.75" x14ac:dyDescent="0.25">
      <c r="A957" s="10"/>
    </row>
    <row r="958" spans="1:1" ht="15.75" x14ac:dyDescent="0.25">
      <c r="A958" s="10"/>
    </row>
    <row r="959" spans="1:1" ht="15.75" x14ac:dyDescent="0.25">
      <c r="A959" s="10"/>
    </row>
    <row r="960" spans="1:1" ht="15.75" x14ac:dyDescent="0.25">
      <c r="A960" s="10"/>
    </row>
    <row r="961" spans="1:1" ht="15.75" x14ac:dyDescent="0.25">
      <c r="A961" s="10"/>
    </row>
    <row r="962" spans="1:1" ht="15.75" x14ac:dyDescent="0.25">
      <c r="A962" s="10"/>
    </row>
    <row r="963" spans="1:1" ht="15.75" x14ac:dyDescent="0.25">
      <c r="A963" s="10"/>
    </row>
    <row r="964" spans="1:1" ht="15.75" x14ac:dyDescent="0.25">
      <c r="A964" s="10"/>
    </row>
    <row r="965" spans="1:1" ht="15.75" x14ac:dyDescent="0.25">
      <c r="A965" s="5"/>
    </row>
    <row r="966" spans="1:1" ht="15.75" x14ac:dyDescent="0.25">
      <c r="A966" s="6"/>
    </row>
    <row r="967" spans="1:1" ht="15.75" x14ac:dyDescent="0.25">
      <c r="A967" s="6"/>
    </row>
    <row r="968" spans="1:1" ht="15.75" x14ac:dyDescent="0.25">
      <c r="A968" s="8"/>
    </row>
    <row r="969" spans="1:1" ht="15.75" x14ac:dyDescent="0.25">
      <c r="A969" s="8"/>
    </row>
    <row r="970" spans="1:1" ht="15.75" x14ac:dyDescent="0.25">
      <c r="A970" s="8"/>
    </row>
    <row r="971" spans="1:1" ht="15.75" x14ac:dyDescent="0.25">
      <c r="A971" s="8"/>
    </row>
    <row r="972" spans="1:1" ht="15.75" x14ac:dyDescent="0.25">
      <c r="A972" s="8"/>
    </row>
    <row r="973" spans="1:1" ht="15.75" x14ac:dyDescent="0.25">
      <c r="A973" s="8"/>
    </row>
    <row r="974" spans="1:1" ht="15.75" x14ac:dyDescent="0.25">
      <c r="A974" s="8"/>
    </row>
    <row r="975" spans="1:1" ht="15.75" x14ac:dyDescent="0.25">
      <c r="A975" s="8"/>
    </row>
    <row r="976" spans="1:1" ht="15.75" x14ac:dyDescent="0.25">
      <c r="A976" s="8"/>
    </row>
    <row r="977" spans="1:1" ht="15.75" x14ac:dyDescent="0.25">
      <c r="A977" s="6"/>
    </row>
    <row r="978" spans="1:1" ht="15.75" x14ac:dyDescent="0.25">
      <c r="A978" s="6"/>
    </row>
    <row r="979" spans="1:1" ht="15.75" x14ac:dyDescent="0.25">
      <c r="A979" s="6"/>
    </row>
    <row r="980" spans="1:1" ht="15.75" x14ac:dyDescent="0.25">
      <c r="A980" s="6"/>
    </row>
    <row r="981" spans="1:1" ht="15.75" x14ac:dyDescent="0.25">
      <c r="A981" s="5"/>
    </row>
    <row r="982" spans="1:1" ht="15.75" x14ac:dyDescent="0.25">
      <c r="A982" s="5"/>
    </row>
    <row r="983" spans="1:1" ht="15.75" x14ac:dyDescent="0.25">
      <c r="A983" s="15"/>
    </row>
    <row r="984" spans="1:1" ht="21" x14ac:dyDescent="0.25">
      <c r="A984" s="17"/>
    </row>
    <row r="985" spans="1:1" ht="15.75" x14ac:dyDescent="0.25">
      <c r="A985" s="4"/>
    </row>
    <row r="986" spans="1:1" ht="15.75" x14ac:dyDescent="0.25">
      <c r="A986" s="11"/>
    </row>
    <row r="987" spans="1:1" ht="15.75" x14ac:dyDescent="0.25">
      <c r="A987" s="11"/>
    </row>
    <row r="988" spans="1:1" ht="15.75" x14ac:dyDescent="0.25">
      <c r="A988" s="11"/>
    </row>
    <row r="989" spans="1:1" ht="15.75" x14ac:dyDescent="0.25">
      <c r="A989" s="11"/>
    </row>
    <row r="990" spans="1:1" ht="15.75" x14ac:dyDescent="0.25">
      <c r="A990" s="12"/>
    </row>
    <row r="991" spans="1:1" ht="15.75" x14ac:dyDescent="0.25">
      <c r="A991" s="4"/>
    </row>
    <row r="992" spans="1:1" ht="15.75" x14ac:dyDescent="0.25">
      <c r="A992" s="11"/>
    </row>
    <row r="993" spans="1:1" ht="15.75" x14ac:dyDescent="0.25">
      <c r="A993" s="11"/>
    </row>
    <row r="994" spans="1:1" ht="15.75" x14ac:dyDescent="0.25">
      <c r="A994" s="11"/>
    </row>
    <row r="995" spans="1:1" ht="15.75" x14ac:dyDescent="0.25">
      <c r="A995" s="12"/>
    </row>
    <row r="996" spans="1:1" ht="15.75" x14ac:dyDescent="0.25">
      <c r="A996" s="11"/>
    </row>
    <row r="997" spans="1:1" ht="15.75" x14ac:dyDescent="0.25">
      <c r="A997" s="11"/>
    </row>
    <row r="998" spans="1:1" ht="15.75" x14ac:dyDescent="0.25">
      <c r="A998" s="4"/>
    </row>
    <row r="999" spans="1:1" ht="15.75" x14ac:dyDescent="0.25">
      <c r="A999" s="11"/>
    </row>
    <row r="1000" spans="1:1" ht="15.75" x14ac:dyDescent="0.25">
      <c r="A1000" s="11"/>
    </row>
    <row r="1001" spans="1:1" ht="15.75" x14ac:dyDescent="0.25">
      <c r="A1001" s="11"/>
    </row>
    <row r="1002" spans="1:1" ht="15.75" x14ac:dyDescent="0.25">
      <c r="A1002" s="11"/>
    </row>
    <row r="1003" spans="1:1" ht="15.75" x14ac:dyDescent="0.25">
      <c r="A1003" s="12"/>
    </row>
    <row r="1004" spans="1:1" ht="15.75" x14ac:dyDescent="0.25">
      <c r="A1004" s="4"/>
    </row>
    <row r="1005" spans="1:1" ht="15.75" x14ac:dyDescent="0.25">
      <c r="A1005" s="11"/>
    </row>
    <row r="1006" spans="1:1" ht="15.75" x14ac:dyDescent="0.25">
      <c r="A1006" s="11"/>
    </row>
    <row r="1007" spans="1:1" ht="15.75" x14ac:dyDescent="0.25">
      <c r="A1007" s="11"/>
    </row>
    <row r="1008" spans="1:1" ht="15.75" x14ac:dyDescent="0.25">
      <c r="A1008" s="12"/>
    </row>
    <row r="1009" spans="1:1" ht="15.75" x14ac:dyDescent="0.25">
      <c r="A1009" s="11"/>
    </row>
    <row r="1010" spans="1:1" ht="15.75" x14ac:dyDescent="0.25">
      <c r="A1010" s="11"/>
    </row>
    <row r="1011" spans="1:1" ht="15.75" x14ac:dyDescent="0.25">
      <c r="A1011" s="4"/>
    </row>
    <row r="1012" spans="1:1" ht="15.75" x14ac:dyDescent="0.25">
      <c r="A1012" s="11"/>
    </row>
    <row r="1013" spans="1:1" ht="15.75" x14ac:dyDescent="0.25">
      <c r="A1013" s="5"/>
    </row>
    <row r="1014" spans="1:1" ht="15.75" x14ac:dyDescent="0.25">
      <c r="A1014" s="11"/>
    </row>
    <row r="1015" spans="1:1" ht="15.75" x14ac:dyDescent="0.25">
      <c r="A1015" s="11"/>
    </row>
    <row r="1016" spans="1:1" ht="15.75" x14ac:dyDescent="0.25">
      <c r="A1016" s="12"/>
    </row>
    <row r="1017" spans="1:1" ht="15.75" x14ac:dyDescent="0.25">
      <c r="A1017" s="4"/>
    </row>
    <row r="1018" spans="1:1" ht="15.75" x14ac:dyDescent="0.25">
      <c r="A1018" s="11"/>
    </row>
    <row r="1019" spans="1:1" ht="15.75" x14ac:dyDescent="0.25">
      <c r="A1019" s="11"/>
    </row>
    <row r="1020" spans="1:1" ht="15.75" x14ac:dyDescent="0.25">
      <c r="A1020" s="11"/>
    </row>
    <row r="1021" spans="1:1" ht="15.75" x14ac:dyDescent="0.25">
      <c r="A1021" s="11"/>
    </row>
    <row r="1022" spans="1:1" ht="15.75" x14ac:dyDescent="0.25">
      <c r="A1022" s="12"/>
    </row>
    <row r="1023" spans="1:1" ht="15.75" x14ac:dyDescent="0.25">
      <c r="A1023" s="16"/>
    </row>
    <row r="1024" spans="1:1" ht="26.25" x14ac:dyDescent="0.25">
      <c r="A1024" s="3"/>
    </row>
    <row r="1025" spans="1:1" ht="15.75" x14ac:dyDescent="0.25">
      <c r="A1025" s="4"/>
    </row>
    <row r="1026" spans="1:1" ht="15.75" x14ac:dyDescent="0.25">
      <c r="A1026" s="5"/>
    </row>
    <row r="1027" spans="1:1" ht="15.75" x14ac:dyDescent="0.25">
      <c r="A1027" s="6"/>
    </row>
    <row r="1028" spans="1:1" ht="15.75" x14ac:dyDescent="0.25">
      <c r="A1028" s="4"/>
    </row>
    <row r="1029" spans="1:1" ht="15.75" x14ac:dyDescent="0.25">
      <c r="A1029" s="5"/>
    </row>
    <row r="1030" spans="1:1" ht="15.75" x14ac:dyDescent="0.25">
      <c r="A1030" s="6"/>
    </row>
    <row r="1031" spans="1:1" ht="15.75" x14ac:dyDescent="0.25">
      <c r="A1031" s="12"/>
    </row>
    <row r="1032" spans="1:1" ht="15.75" x14ac:dyDescent="0.25">
      <c r="A1032" s="4"/>
    </row>
    <row r="1033" spans="1:1" ht="15.75" x14ac:dyDescent="0.25">
      <c r="A1033" s="11"/>
    </row>
    <row r="1034" spans="1:1" ht="15.75" x14ac:dyDescent="0.25">
      <c r="A1034" s="11"/>
    </row>
    <row r="1035" spans="1:1" ht="15.75" x14ac:dyDescent="0.25">
      <c r="A1035" s="11"/>
    </row>
    <row r="1036" spans="1:1" ht="15.75" x14ac:dyDescent="0.25">
      <c r="A1036" s="12"/>
    </row>
    <row r="1037" spans="1:1" ht="15.75" x14ac:dyDescent="0.25">
      <c r="A1037" s="11"/>
    </row>
    <row r="1038" spans="1:1" ht="15.75" x14ac:dyDescent="0.25">
      <c r="A1038" s="11"/>
    </row>
    <row r="1039" spans="1:1" ht="15.75" x14ac:dyDescent="0.25">
      <c r="A1039" s="4"/>
    </row>
    <row r="1040" spans="1:1" ht="15.75" x14ac:dyDescent="0.25">
      <c r="A1040" s="11"/>
    </row>
    <row r="1041" spans="1:1" ht="15.75" x14ac:dyDescent="0.25">
      <c r="A1041" s="11"/>
    </row>
    <row r="1042" spans="1:1" ht="15.75" x14ac:dyDescent="0.25">
      <c r="A1042" s="11"/>
    </row>
    <row r="1043" spans="1:1" ht="15.75" x14ac:dyDescent="0.25">
      <c r="A1043" s="11"/>
    </row>
    <row r="1044" spans="1:1" ht="15.75" x14ac:dyDescent="0.25">
      <c r="A1044" s="12"/>
    </row>
    <row r="1045" spans="1:1" ht="15.75" x14ac:dyDescent="0.25">
      <c r="A1045" s="4"/>
    </row>
    <row r="1046" spans="1:1" ht="15.75" x14ac:dyDescent="0.25">
      <c r="A1046" s="11"/>
    </row>
    <row r="1047" spans="1:1" ht="15.75" x14ac:dyDescent="0.25">
      <c r="A1047" s="11"/>
    </row>
    <row r="1048" spans="1:1" ht="15.75" x14ac:dyDescent="0.25">
      <c r="A1048" s="11"/>
    </row>
    <row r="1049" spans="1:1" ht="15.75" x14ac:dyDescent="0.25">
      <c r="A1049" s="12"/>
    </row>
    <row r="1050" spans="1:1" ht="15.75" x14ac:dyDescent="0.25">
      <c r="A1050" s="11"/>
    </row>
    <row r="1051" spans="1:1" ht="15.75" x14ac:dyDescent="0.25">
      <c r="A1051" s="11"/>
    </row>
    <row r="1052" spans="1:1" ht="15.75" x14ac:dyDescent="0.25">
      <c r="A1052" s="4"/>
    </row>
    <row r="1053" spans="1:1" ht="15.75" x14ac:dyDescent="0.25">
      <c r="A1053" s="11"/>
    </row>
    <row r="1054" spans="1:1" ht="15.75" x14ac:dyDescent="0.25">
      <c r="A1054" s="5"/>
    </row>
    <row r="1055" spans="1:1" ht="15.75" x14ac:dyDescent="0.25">
      <c r="A1055" s="11"/>
    </row>
    <row r="1056" spans="1:1" ht="15.75" x14ac:dyDescent="0.25">
      <c r="A1056" s="11"/>
    </row>
    <row r="1057" spans="1:1" ht="15.75" x14ac:dyDescent="0.25">
      <c r="A1057" s="12"/>
    </row>
    <row r="1058" spans="1:1" ht="15.75" x14ac:dyDescent="0.25">
      <c r="A1058" s="4"/>
    </row>
    <row r="1059" spans="1:1" ht="15.75" x14ac:dyDescent="0.25">
      <c r="A1059" s="11"/>
    </row>
    <row r="1060" spans="1:1" ht="15.75" x14ac:dyDescent="0.25">
      <c r="A1060" s="11"/>
    </row>
    <row r="1061" spans="1:1" ht="15.75" x14ac:dyDescent="0.25">
      <c r="A1061" s="11"/>
    </row>
    <row r="1062" spans="1:1" ht="15.75" x14ac:dyDescent="0.25">
      <c r="A1062" s="11"/>
    </row>
    <row r="1063" spans="1:1" ht="15.75" x14ac:dyDescent="0.25">
      <c r="A1063" s="12"/>
    </row>
    <row r="1064" spans="1:1" ht="15.75" x14ac:dyDescent="0.25">
      <c r="A1064" s="16"/>
    </row>
    <row r="1065" spans="1:1" ht="26.25" x14ac:dyDescent="0.25">
      <c r="A1065" s="3"/>
    </row>
    <row r="1066" spans="1:1" ht="15.75" x14ac:dyDescent="0.25">
      <c r="A1066" s="4"/>
    </row>
    <row r="1067" spans="1:1" ht="15.75" x14ac:dyDescent="0.25">
      <c r="A1067" s="5"/>
    </row>
    <row r="1068" spans="1:1" ht="15.75" x14ac:dyDescent="0.25">
      <c r="A1068" s="6"/>
    </row>
    <row r="1069" spans="1:1" ht="15.75" x14ac:dyDescent="0.25">
      <c r="A1069" s="4"/>
    </row>
    <row r="1070" spans="1:1" ht="15.75" x14ac:dyDescent="0.25">
      <c r="A1070" s="5"/>
    </row>
    <row r="1071" spans="1:1" ht="15.75" x14ac:dyDescent="0.25">
      <c r="A1071" s="6"/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AZ13"/>
  <sheetViews>
    <sheetView workbookViewId="0">
      <selection activeCell="A7" sqref="A7"/>
    </sheetView>
  </sheetViews>
  <sheetFormatPr defaultRowHeight="15" x14ac:dyDescent="0.25"/>
  <cols>
    <col min="1" max="1" width="147.5703125" customWidth="1"/>
    <col min="2" max="2" width="9.140625" customWidth="1"/>
    <col min="3" max="3" width="14.5703125" customWidth="1"/>
    <col min="4" max="4" width="11.5703125" customWidth="1"/>
    <col min="5" max="5" width="16.7109375" customWidth="1"/>
    <col min="6" max="6" width="20.140625" customWidth="1"/>
    <col min="9" max="9" width="9.140625" customWidth="1"/>
    <col min="13" max="15" width="9.140625" customWidth="1"/>
    <col min="26" max="26" width="9.42578125" customWidth="1"/>
    <col min="44" max="44" width="18.5703125" customWidth="1"/>
  </cols>
  <sheetData>
    <row r="1" spans="1:52" ht="16.5" thickTop="1" thickBot="1" x14ac:dyDescent="0.3">
      <c r="A1" s="41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</row>
    <row r="2" spans="1:52" ht="15.75" thickTop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</row>
    <row r="3" spans="1:5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</row>
    <row r="4" spans="1:5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</row>
    <row r="5" spans="1:5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</row>
    <row r="6" spans="1:5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</row>
    <row r="7" spans="1:5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</row>
    <row r="8" spans="1:5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</row>
    <row r="9" spans="1:5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</row>
    <row r="10" spans="1:5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</row>
    <row r="11" spans="1:52" ht="15.75" thickBot="1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</row>
    <row r="12" spans="1:52" ht="16.5" thickTop="1" thickBot="1" x14ac:dyDescent="0.3">
      <c r="A12" s="41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</row>
    <row r="13" spans="1:52" ht="15.75" thickTop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L42"/>
  <sheetViews>
    <sheetView topLeftCell="A13" workbookViewId="0">
      <selection activeCell="I41" sqref="I41"/>
    </sheetView>
  </sheetViews>
  <sheetFormatPr defaultRowHeight="15" x14ac:dyDescent="0.25"/>
  <cols>
    <col min="1" max="1" width="33.5703125" customWidth="1"/>
    <col min="4" max="4" width="37.140625" customWidth="1"/>
    <col min="5" max="5" width="13.7109375" customWidth="1"/>
    <col min="6" max="6" width="35.7109375" customWidth="1"/>
    <col min="7" max="7" width="20.42578125" customWidth="1"/>
    <col min="10" max="10" width="24.140625" customWidth="1"/>
    <col min="11" max="11" width="29.140625" customWidth="1"/>
  </cols>
  <sheetData>
    <row r="1" spans="1:12" ht="16.5" thickTop="1" thickBot="1" x14ac:dyDescent="0.3">
      <c r="A1" t="s">
        <v>3</v>
      </c>
      <c r="B1">
        <v>1</v>
      </c>
      <c r="D1" t="s">
        <v>4</v>
      </c>
      <c r="E1">
        <v>23</v>
      </c>
      <c r="F1" t="s">
        <v>633</v>
      </c>
      <c r="G1" s="1" t="s">
        <v>14</v>
      </c>
      <c r="K1" s="1" t="s">
        <v>6</v>
      </c>
      <c r="L1" s="1" t="s">
        <v>5</v>
      </c>
    </row>
    <row r="2" spans="1:12" ht="16.5" thickTop="1" thickBot="1" x14ac:dyDescent="0.3">
      <c r="A2" s="1"/>
      <c r="D2" s="1" t="s">
        <v>622</v>
      </c>
      <c r="F2" s="1" t="s">
        <v>632</v>
      </c>
      <c r="G2" s="1" t="s">
        <v>13</v>
      </c>
    </row>
    <row r="3" spans="1:12" ht="16.5" thickTop="1" thickBot="1" x14ac:dyDescent="0.3">
      <c r="A3" s="1"/>
      <c r="B3" s="1" t="s">
        <v>9</v>
      </c>
      <c r="D3" s="1" t="s">
        <v>623</v>
      </c>
      <c r="E3" s="1" t="s">
        <v>9</v>
      </c>
      <c r="F3" s="1" t="s">
        <v>634</v>
      </c>
      <c r="G3" s="1" t="s">
        <v>12</v>
      </c>
    </row>
    <row r="4" spans="1:12" ht="16.5" thickTop="1" thickBot="1" x14ac:dyDescent="0.3">
      <c r="A4" s="1"/>
      <c r="B4" s="1">
        <f>COUNTA(A:A) -1</f>
        <v>0</v>
      </c>
      <c r="D4" s="1" t="s">
        <v>624</v>
      </c>
      <c r="E4" s="1">
        <f>COUNTA(D:D) -1</f>
        <v>40</v>
      </c>
      <c r="F4" s="1" t="s">
        <v>635</v>
      </c>
      <c r="G4" s="1">
        <f>COUNTA(Relatório!A:A) - 1</f>
        <v>5</v>
      </c>
    </row>
    <row r="5" spans="1:12" ht="16.5" thickTop="1" thickBot="1" x14ac:dyDescent="0.3">
      <c r="A5" s="1"/>
      <c r="D5" s="1" t="s">
        <v>626</v>
      </c>
      <c r="F5" s="1" t="s">
        <v>636</v>
      </c>
      <c r="G5" s="1" t="str">
        <f>CONCATENATE('Banco de Dados'!G2,'Banco de Dados'!G4)</f>
        <v>Erros Identificados:  5</v>
      </c>
    </row>
    <row r="6" spans="1:12" ht="16.5" thickTop="1" thickBot="1" x14ac:dyDescent="0.3">
      <c r="A6" s="1"/>
      <c r="D6" s="1" t="s">
        <v>627</v>
      </c>
      <c r="F6" s="1" t="s">
        <v>637</v>
      </c>
    </row>
    <row r="7" spans="1:12" ht="16.5" thickTop="1" thickBot="1" x14ac:dyDescent="0.3">
      <c r="A7" s="1"/>
      <c r="D7" s="1" t="s">
        <v>631</v>
      </c>
      <c r="F7" s="1" t="s">
        <v>638</v>
      </c>
    </row>
    <row r="8" spans="1:12" ht="16.5" thickTop="1" thickBot="1" x14ac:dyDescent="0.3">
      <c r="A8" s="1"/>
      <c r="D8" s="1" t="s">
        <v>628</v>
      </c>
      <c r="F8" s="1" t="s">
        <v>639</v>
      </c>
    </row>
    <row r="9" spans="1:12" ht="16.5" thickTop="1" thickBot="1" x14ac:dyDescent="0.3">
      <c r="A9" s="2"/>
      <c r="D9" s="1" t="s">
        <v>629</v>
      </c>
      <c r="F9" s="1" t="s">
        <v>640</v>
      </c>
    </row>
    <row r="10" spans="1:12" ht="16.5" thickTop="1" thickBot="1" x14ac:dyDescent="0.3">
      <c r="A10" s="1"/>
      <c r="D10" s="1" t="s">
        <v>630</v>
      </c>
      <c r="F10" s="1" t="s">
        <v>641</v>
      </c>
    </row>
    <row r="11" spans="1:12" ht="16.5" thickTop="1" thickBot="1" x14ac:dyDescent="0.3">
      <c r="A11" s="1"/>
      <c r="D11" s="1" t="s">
        <v>644</v>
      </c>
      <c r="F11" s="1" t="s">
        <v>645</v>
      </c>
    </row>
    <row r="12" spans="1:12" ht="16.5" thickTop="1" thickBot="1" x14ac:dyDescent="0.3">
      <c r="A12" s="1"/>
      <c r="D12" s="1" t="s">
        <v>646</v>
      </c>
      <c r="F12" s="1" t="s">
        <v>650</v>
      </c>
    </row>
    <row r="13" spans="1:12" ht="16.5" thickTop="1" thickBot="1" x14ac:dyDescent="0.3">
      <c r="A13" s="1"/>
      <c r="D13" s="1" t="s">
        <v>647</v>
      </c>
      <c r="F13" s="1" t="s">
        <v>649</v>
      </c>
    </row>
    <row r="14" spans="1:12" ht="16.5" thickTop="1" thickBot="1" x14ac:dyDescent="0.3">
      <c r="A14" s="1"/>
      <c r="D14" s="1" t="s">
        <v>648</v>
      </c>
      <c r="F14" s="1" t="s">
        <v>651</v>
      </c>
    </row>
    <row r="15" spans="1:12" ht="16.5" thickTop="1" thickBot="1" x14ac:dyDescent="0.3">
      <c r="A15" s="1"/>
      <c r="D15" s="1" t="s">
        <v>182</v>
      </c>
      <c r="F15" s="1" t="s">
        <v>652</v>
      </c>
    </row>
    <row r="16" spans="1:12" ht="16.5" thickTop="1" thickBot="1" x14ac:dyDescent="0.3">
      <c r="A16" s="1"/>
      <c r="D16" s="1" t="s">
        <v>653</v>
      </c>
      <c r="F16" s="1" t="s">
        <v>654</v>
      </c>
    </row>
    <row r="17" spans="1:11" ht="16.5" thickTop="1" thickBot="1" x14ac:dyDescent="0.3">
      <c r="A17" s="1"/>
      <c r="D17" s="1" t="s">
        <v>655</v>
      </c>
      <c r="F17" s="1" t="s">
        <v>656</v>
      </c>
    </row>
    <row r="18" spans="1:11" ht="16.5" thickTop="1" thickBot="1" x14ac:dyDescent="0.3">
      <c r="A18" s="1"/>
      <c r="D18" s="1" t="s">
        <v>200</v>
      </c>
      <c r="F18" s="1" t="s">
        <v>657</v>
      </c>
    </row>
    <row r="19" spans="1:11" ht="16.5" thickTop="1" thickBot="1" x14ac:dyDescent="0.3">
      <c r="A19" s="1"/>
      <c r="D19" s="1" t="s">
        <v>209</v>
      </c>
      <c r="F19" s="1" t="s">
        <v>658</v>
      </c>
    </row>
    <row r="20" spans="1:11" ht="16.5" thickTop="1" thickBot="1" x14ac:dyDescent="0.3">
      <c r="A20" s="1"/>
      <c r="D20" s="1" t="s">
        <v>244</v>
      </c>
      <c r="F20" s="1" t="s">
        <v>660</v>
      </c>
    </row>
    <row r="21" spans="1:11" ht="16.5" thickTop="1" thickBot="1" x14ac:dyDescent="0.3">
      <c r="A21" s="1"/>
      <c r="D21" s="1" t="s">
        <v>270</v>
      </c>
      <c r="F21" s="1" t="s">
        <v>661</v>
      </c>
    </row>
    <row r="22" spans="1:11" ht="16.5" thickTop="1" thickBot="1" x14ac:dyDescent="0.3">
      <c r="A22" s="1"/>
      <c r="D22" s="1" t="s">
        <v>281</v>
      </c>
      <c r="F22" s="1" t="s">
        <v>662</v>
      </c>
      <c r="J22" s="20" t="s">
        <v>20</v>
      </c>
      <c r="K22" t="str">
        <f>CONCATENATE("Call VerificaImagem(",K24,", ",K25,", ",K26,", ",K27,", ","""",K23,""")")</f>
        <v>Call VerificaImagem(480, 276, 1416, 767, "Armazenamento\Pesagens")</v>
      </c>
    </row>
    <row r="23" spans="1:11" ht="16.5" thickTop="1" thickBot="1" x14ac:dyDescent="0.3">
      <c r="A23" s="1"/>
      <c r="D23" s="1" t="s">
        <v>298</v>
      </c>
      <c r="F23" s="1" t="s">
        <v>663</v>
      </c>
      <c r="J23" s="20" t="s">
        <v>19</v>
      </c>
      <c r="K23" t="s">
        <v>673</v>
      </c>
    </row>
    <row r="24" spans="1:11" ht="16.5" thickTop="1" thickBot="1" x14ac:dyDescent="0.3">
      <c r="A24" s="1"/>
      <c r="D24" s="1" t="s">
        <v>312</v>
      </c>
      <c r="F24" s="1" t="s">
        <v>664</v>
      </c>
      <c r="J24" s="20" t="s">
        <v>15</v>
      </c>
      <c r="K24" s="23">
        <v>480</v>
      </c>
    </row>
    <row r="25" spans="1:11" ht="16.5" thickTop="1" thickBot="1" x14ac:dyDescent="0.3">
      <c r="A25" s="1"/>
      <c r="D25" s="1" t="s">
        <v>319</v>
      </c>
      <c r="F25" s="1" t="s">
        <v>665</v>
      </c>
      <c r="J25" s="20" t="s">
        <v>16</v>
      </c>
      <c r="K25" s="23">
        <v>276</v>
      </c>
    </row>
    <row r="26" spans="1:11" ht="16.5" thickTop="1" thickBot="1" x14ac:dyDescent="0.3">
      <c r="A26" s="1"/>
      <c r="D26" s="1" t="s">
        <v>365</v>
      </c>
      <c r="F26" s="1" t="s">
        <v>666</v>
      </c>
      <c r="J26" s="20" t="s">
        <v>18</v>
      </c>
      <c r="K26" s="23">
        <v>1416</v>
      </c>
    </row>
    <row r="27" spans="1:11" ht="16.5" thickTop="1" thickBot="1" x14ac:dyDescent="0.3">
      <c r="A27" s="1"/>
      <c r="D27" s="1" t="s">
        <v>369</v>
      </c>
      <c r="F27" s="1" t="s">
        <v>667</v>
      </c>
      <c r="J27" s="20" t="s">
        <v>17</v>
      </c>
      <c r="K27" s="23">
        <v>767</v>
      </c>
    </row>
    <row r="28" spans="1:11" ht="16.5" thickTop="1" thickBot="1" x14ac:dyDescent="0.3">
      <c r="A28" s="1"/>
      <c r="D28" s="1" t="s">
        <v>384</v>
      </c>
      <c r="F28" s="1" t="s">
        <v>668</v>
      </c>
    </row>
    <row r="29" spans="1:11" ht="16.5" thickTop="1" thickBot="1" x14ac:dyDescent="0.3">
      <c r="A29" s="1"/>
      <c r="D29" s="1" t="s">
        <v>670</v>
      </c>
      <c r="F29" s="1" t="s">
        <v>669</v>
      </c>
    </row>
    <row r="30" spans="1:11" ht="16.5" thickTop="1" thickBot="1" x14ac:dyDescent="0.3">
      <c r="A30" s="1"/>
      <c r="D30" s="1" t="s">
        <v>441</v>
      </c>
      <c r="F30" s="1" t="s">
        <v>672</v>
      </c>
    </row>
    <row r="31" spans="1:11" ht="16.5" thickTop="1" thickBot="1" x14ac:dyDescent="0.3">
      <c r="D31" s="1" t="s">
        <v>487</v>
      </c>
      <c r="F31" s="1" t="s">
        <v>674</v>
      </c>
    </row>
    <row r="32" spans="1:11" ht="16.5" thickTop="1" thickBot="1" x14ac:dyDescent="0.3">
      <c r="D32" s="1" t="s">
        <v>531</v>
      </c>
      <c r="F32" s="1" t="s">
        <v>675</v>
      </c>
    </row>
    <row r="33" spans="4:11" ht="16.5" thickTop="1" thickBot="1" x14ac:dyDescent="0.3">
      <c r="D33" s="1" t="s">
        <v>549</v>
      </c>
      <c r="F33" s="1" t="s">
        <v>676</v>
      </c>
    </row>
    <row r="34" spans="4:11" ht="16.5" thickTop="1" thickBot="1" x14ac:dyDescent="0.3">
      <c r="D34" s="1" t="s">
        <v>554</v>
      </c>
      <c r="F34" s="1" t="s">
        <v>677</v>
      </c>
      <c r="J34" t="s">
        <v>20</v>
      </c>
      <c r="K34" t="s">
        <v>688</v>
      </c>
    </row>
    <row r="35" spans="4:11" ht="16.5" thickTop="1" thickBot="1" x14ac:dyDescent="0.3">
      <c r="D35" s="1" t="s">
        <v>566</v>
      </c>
      <c r="F35" s="1" t="s">
        <v>678</v>
      </c>
      <c r="J35" t="s">
        <v>687</v>
      </c>
      <c r="K35" t="s">
        <v>689</v>
      </c>
    </row>
    <row r="36" spans="4:11" ht="16.5" thickTop="1" thickBot="1" x14ac:dyDescent="0.3">
      <c r="D36" s="1" t="s">
        <v>579</v>
      </c>
      <c r="F36" s="1" t="s">
        <v>679</v>
      </c>
    </row>
    <row r="37" spans="4:11" ht="16.5" thickTop="1" thickBot="1" x14ac:dyDescent="0.3">
      <c r="D37" s="1" t="s">
        <v>585</v>
      </c>
      <c r="F37" s="1" t="s">
        <v>680</v>
      </c>
    </row>
    <row r="38" spans="4:11" ht="16.5" thickTop="1" thickBot="1" x14ac:dyDescent="0.3">
      <c r="D38" s="1" t="s">
        <v>593</v>
      </c>
      <c r="F38" s="1" t="s">
        <v>681</v>
      </c>
    </row>
    <row r="39" spans="4:11" ht="16.5" thickTop="1" thickBot="1" x14ac:dyDescent="0.3">
      <c r="D39" s="1" t="s">
        <v>602</v>
      </c>
      <c r="F39" s="1" t="s">
        <v>682</v>
      </c>
    </row>
    <row r="40" spans="4:11" ht="16.5" thickTop="1" thickBot="1" x14ac:dyDescent="0.3">
      <c r="D40" s="1" t="s">
        <v>683</v>
      </c>
      <c r="F40" s="1" t="s">
        <v>684</v>
      </c>
    </row>
    <row r="41" spans="4:11" ht="16.5" thickTop="1" thickBot="1" x14ac:dyDescent="0.3">
      <c r="D41" s="1" t="s">
        <v>685</v>
      </c>
      <c r="F41" s="1" t="s">
        <v>686</v>
      </c>
    </row>
    <row r="42" spans="4:11" ht="15.75" thickTop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otaoDesenvolvedor">
                <anchor moveWithCells="1">
                  <from>
                    <xdr:col>9</xdr:col>
                    <xdr:colOff>1038225</xdr:colOff>
                    <xdr:row>27</xdr:row>
                    <xdr:rowOff>9525</xdr:rowOff>
                  </from>
                  <to>
                    <xdr:col>10</xdr:col>
                    <xdr:colOff>590550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otãoAbrir">
                <anchor moveWithCells="1">
                  <from>
                    <xdr:col>9</xdr:col>
                    <xdr:colOff>1238250</xdr:colOff>
                    <xdr:row>29</xdr:row>
                    <xdr:rowOff>76200</xdr:rowOff>
                  </from>
                  <to>
                    <xdr:col>10</xdr:col>
                    <xdr:colOff>409575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apagarImagem">
                <anchor moveWithCells="1">
                  <from>
                    <xdr:col>9</xdr:col>
                    <xdr:colOff>1209675</xdr:colOff>
                    <xdr:row>35</xdr:row>
                    <xdr:rowOff>104775</xdr:rowOff>
                  </from>
                  <to>
                    <xdr:col>10</xdr:col>
                    <xdr:colOff>428625</xdr:colOff>
                    <xdr:row>37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C16"/>
  <sheetViews>
    <sheetView zoomScale="116" zoomScaleNormal="116" workbookViewId="0">
      <selection activeCell="A10" sqref="A10"/>
    </sheetView>
  </sheetViews>
  <sheetFormatPr defaultRowHeight="15" x14ac:dyDescent="0.25"/>
  <cols>
    <col min="1" max="1" width="127.85546875" customWidth="1"/>
    <col min="2" max="2" width="69.7109375" customWidth="1"/>
    <col min="3" max="3" width="30.85546875" style="21" customWidth="1"/>
  </cols>
  <sheetData>
    <row r="1" spans="1:3" x14ac:dyDescent="0.25">
      <c r="A1" s="33" t="s">
        <v>643</v>
      </c>
      <c r="B1" s="32" t="s">
        <v>642</v>
      </c>
      <c r="C1" s="22" t="s">
        <v>11</v>
      </c>
    </row>
    <row r="2" spans="1:3" ht="30" x14ac:dyDescent="0.25">
      <c r="A2" s="43" t="s">
        <v>691</v>
      </c>
      <c r="B2" t="s">
        <v>319</v>
      </c>
      <c r="C2" s="21" t="s">
        <v>690</v>
      </c>
    </row>
    <row r="3" spans="1:3" ht="30" x14ac:dyDescent="0.25">
      <c r="A3" s="43" t="s">
        <v>693</v>
      </c>
      <c r="B3" t="s">
        <v>369</v>
      </c>
      <c r="C3" s="21" t="s">
        <v>692</v>
      </c>
    </row>
    <row r="4" spans="1:3" ht="30" x14ac:dyDescent="0.25">
      <c r="A4" s="43" t="s">
        <v>695</v>
      </c>
      <c r="B4" t="s">
        <v>441</v>
      </c>
      <c r="C4" s="21" t="s">
        <v>694</v>
      </c>
    </row>
    <row r="5" spans="1:3" x14ac:dyDescent="0.25">
      <c r="A5" s="43" t="s">
        <v>698</v>
      </c>
      <c r="B5" t="s">
        <v>566</v>
      </c>
      <c r="C5" s="21" t="s">
        <v>697</v>
      </c>
    </row>
    <row r="6" spans="1:3" x14ac:dyDescent="0.25">
      <c r="A6" s="43" t="s">
        <v>698</v>
      </c>
      <c r="B6" t="s">
        <v>566</v>
      </c>
      <c r="C6" s="21" t="s">
        <v>697</v>
      </c>
    </row>
    <row r="7" spans="1:3" x14ac:dyDescent="0.25">
      <c r="A7" s="43"/>
    </row>
    <row r="8" spans="1:3" x14ac:dyDescent="0.25">
      <c r="A8" s="43"/>
    </row>
    <row r="9" spans="1:3" x14ac:dyDescent="0.25">
      <c r="A9" s="43"/>
    </row>
    <row r="10" spans="1:3" x14ac:dyDescent="0.25">
      <c r="A10" s="43"/>
    </row>
    <row r="11" spans="1:3" x14ac:dyDescent="0.25">
      <c r="A11" s="43"/>
    </row>
    <row r="12" spans="1:3" x14ac:dyDescent="0.25">
      <c r="A12" s="43"/>
    </row>
    <row r="13" spans="1:3" x14ac:dyDescent="0.25">
      <c r="A13" s="43"/>
    </row>
    <row r="14" spans="1:3" x14ac:dyDescent="0.25">
      <c r="A14" s="43"/>
    </row>
    <row r="15" spans="1:3" x14ac:dyDescent="0.25">
      <c r="A15" s="43"/>
    </row>
    <row r="16" spans="1:3" x14ac:dyDescent="0.25">
      <c r="A16" s="4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Principal</vt:lpstr>
      <vt:lpstr>Roteiro</vt:lpstr>
      <vt:lpstr>Dados para verificação</vt:lpstr>
      <vt:lpstr>Banco de Dados</vt:lpstr>
      <vt:lpstr>Relatório</vt:lpstr>
      <vt:lpstr>Roteiro!Município</vt:lpstr>
      <vt:lpstr>Roteiro!ResponsávelLegal</vt:lpstr>
      <vt:lpstr>Roteiro!Usuário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Pedro Pereira da Silva</dc:creator>
  <cp:lastModifiedBy>João Pedro</cp:lastModifiedBy>
  <dcterms:created xsi:type="dcterms:W3CDTF">2006-09-16T00:00:00Z</dcterms:created>
  <dcterms:modified xsi:type="dcterms:W3CDTF">2025-05-10T19:47:48Z</dcterms:modified>
</cp:coreProperties>
</file>